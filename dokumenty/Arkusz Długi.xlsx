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queryTables/queryTable9.xml" ContentType="application/vnd.openxmlformats-officedocument.spreadsheetml.queryTable+xml"/>
  <Override PartName="/xl/worksheets/sheet1.xml" ContentType="application/vnd.openxmlformats-officedocument.spreadsheetml.worksheet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27960" windowHeight="13875" firstSheet="2" activeTab="6"/>
  </bookViews>
  <sheets>
    <sheet name="Kozbór ARKUSZ Długi" sheetId="1" r:id="rId1"/>
    <sheet name="Kosmacz ARKUSZ Długi " sheetId="5" r:id="rId2"/>
    <sheet name="Kwiatkowski ARKUSZ Długi" sheetId="6" r:id="rId3"/>
    <sheet name="Zygadło ARKUSZ Długi" sheetId="7" r:id="rId4"/>
    <sheet name="Kalman ARKUSZ Długi" sheetId="8" r:id="rId5"/>
    <sheet name="Graba ARKUSZ Długi" sheetId="9" r:id="rId6"/>
    <sheet name="Jankowiak ARKUSZ Długi" sheetId="10" r:id="rId7"/>
    <sheet name="ArkuszOkienka skrócony" sheetId="4" r:id="rId8"/>
    <sheet name="Arkusz Okienka" sheetId="2" r:id="rId9"/>
  </sheets>
  <definedNames>
    <definedName name="grafik_poczta" localSheetId="5">'Graba ARKUSZ Długi'!$A$9:$H$83</definedName>
    <definedName name="grafik_poczta" localSheetId="6">'Jankowiak ARKUSZ Długi'!$A$9:$H$83</definedName>
    <definedName name="grafik_poczta" localSheetId="4">'Kalman ARKUSZ Długi'!$A$9:$H$83</definedName>
    <definedName name="grafik_poczta" localSheetId="1">'Kosmacz ARKUSZ Długi '!$A$9:$H$83</definedName>
    <definedName name="grafik_poczta" localSheetId="0">'Kozbór ARKUSZ Długi'!$A$9:$H$83</definedName>
    <definedName name="grafik_poczta" localSheetId="2">'Kwiatkowski ARKUSZ Długi'!$A$9:$H$83</definedName>
    <definedName name="grafik_poczta" localSheetId="3">'Zygadło ARKUSZ Długi'!$A$9:$H$83</definedName>
    <definedName name="grafik_poczta_okienka" localSheetId="8">'Arkusz Okienka'!#REF!</definedName>
    <definedName name="grafik_poczta_okienka" localSheetId="7">'ArkuszOkienka skrócony'!#REF!</definedName>
    <definedName name="grafik_poczta_okienka_1" localSheetId="8">'Arkusz Okienka'!$A$1:$Q$36</definedName>
    <definedName name="grafik_poczta_okienka_1" localSheetId="7">'ArkuszOkienka skrócony'!$A$1:$N$36</definedName>
  </definedNames>
  <calcPr calcId="125725"/>
</workbook>
</file>

<file path=xl/calcChain.xml><?xml version="1.0" encoding="utf-8"?>
<calcChain xmlns="http://schemas.openxmlformats.org/spreadsheetml/2006/main">
  <c r="H109" i="10"/>
  <c r="F109"/>
  <c r="H107"/>
  <c r="F107"/>
  <c r="H76"/>
  <c r="F76"/>
  <c r="H74"/>
  <c r="F74"/>
  <c r="H42"/>
  <c r="F42"/>
  <c r="H40"/>
  <c r="F41" s="1"/>
  <c r="F40"/>
  <c r="H109" i="9"/>
  <c r="F109"/>
  <c r="H107"/>
  <c r="F108" s="1"/>
  <c r="F107"/>
  <c r="H76"/>
  <c r="F76"/>
  <c r="F75"/>
  <c r="H74"/>
  <c r="F74"/>
  <c r="H42"/>
  <c r="F42"/>
  <c r="H40"/>
  <c r="F40"/>
  <c r="F41" s="1"/>
  <c r="H109" i="8"/>
  <c r="F109"/>
  <c r="H107"/>
  <c r="F107"/>
  <c r="F108" s="1"/>
  <c r="H76"/>
  <c r="F76"/>
  <c r="H74"/>
  <c r="F74"/>
  <c r="H42"/>
  <c r="F42"/>
  <c r="H40"/>
  <c r="F41" s="1"/>
  <c r="F40"/>
  <c r="H109" i="7"/>
  <c r="F109"/>
  <c r="H107"/>
  <c r="F107"/>
  <c r="H76"/>
  <c r="F76"/>
  <c r="H74"/>
  <c r="F74"/>
  <c r="H42"/>
  <c r="F42"/>
  <c r="F41"/>
  <c r="H40"/>
  <c r="F40"/>
  <c r="D4" s="1"/>
  <c r="H109" i="6"/>
  <c r="F109"/>
  <c r="H107"/>
  <c r="F108" s="1"/>
  <c r="F107"/>
  <c r="H76"/>
  <c r="F76"/>
  <c r="H74"/>
  <c r="F75" s="1"/>
  <c r="F74"/>
  <c r="H42"/>
  <c r="F42"/>
  <c r="H40"/>
  <c r="F40"/>
  <c r="H109" i="5"/>
  <c r="F109"/>
  <c r="H107"/>
  <c r="F107"/>
  <c r="H76"/>
  <c r="F76"/>
  <c r="H74"/>
  <c r="F74"/>
  <c r="H42"/>
  <c r="F42"/>
  <c r="H40"/>
  <c r="D4" s="1"/>
  <c r="F40"/>
  <c r="H107" i="1"/>
  <c r="H74"/>
  <c r="F75" s="1"/>
  <c r="H40"/>
  <c r="F41" s="1"/>
  <c r="F42"/>
  <c r="H42"/>
  <c r="F76"/>
  <c r="H76"/>
  <c r="H109"/>
  <c r="F109"/>
  <c r="F107"/>
  <c r="F74"/>
  <c r="F40"/>
  <c r="F108" i="10" l="1"/>
  <c r="F75"/>
  <c r="D4"/>
  <c r="F75" i="8"/>
  <c r="D4"/>
  <c r="F108" i="7"/>
  <c r="F75"/>
  <c r="D4" i="6"/>
  <c r="F41" i="5"/>
  <c r="F75"/>
  <c r="F108"/>
  <c r="F108" i="1"/>
  <c r="D4" i="9"/>
  <c r="F41" i="6"/>
  <c r="D4" i="1"/>
</calcChain>
</file>

<file path=xl/connections.xml><?xml version="1.0" encoding="utf-8"?>
<connections xmlns="http://schemas.openxmlformats.org/spreadsheetml/2006/main">
  <connection id="1" name="grafik_poczta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2" name="grafik_poczta_okienka" type="6" refreshedVersion="3" background="1" saveData="1">
    <textPr codePage="65001" sourceFile="E:\1. WEB_PROJECTS_2026\03_ POCZTA\grafik_poczta_okienka.csv" decimal="," thousands=" " tab="0" semicolon="1">
      <textFields count="5">
        <textField/>
        <textField/>
        <textField/>
        <textField/>
        <textField/>
      </textFields>
    </textPr>
  </connection>
  <connection id="3" name="grafik_poczta_okienka1" type="6" refreshedVersion="3" background="1" saveData="1">
    <textPr codePage="65001" sourceFile="E:\1. WEB_PROJECTS_2026\03_ POCZTA\grafik_poczta_okienka.csv" decimal="," thousands=" " tab="0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grafik_poczta_okienka11" type="6" refreshedVersion="3" background="1" saveData="1">
    <textPr codePage="65001" sourceFile="E:\1. WEB_PROJECTS_2026\03_ POCZTA\grafik_poczta_okienka.csv" decimal="," thousands=" " tab="0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grafik_poczta1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6" name="grafik_poczta11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7" name="grafik_poczta111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8" name="grafik_poczta1111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9" name="grafik_poczta11111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10" name="grafik_poczta111111" type="6" refreshedVersion="3" background="1" saveData="1">
    <textPr codePage="65001" sourceFile="E:\1. WEB_PROJECTS_2026\03_ POCZTA\grafik_poczta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<sst xmlns="http://schemas.openxmlformats.org/spreadsheetml/2006/main" count="947" uniqueCount="58">
  <si>
    <t>Dzień</t>
  </si>
  <si>
    <t>Miesiąc</t>
  </si>
  <si>
    <t>Dzień tygodnia</t>
  </si>
  <si>
    <t>Śr</t>
  </si>
  <si>
    <t>Cz</t>
  </si>
  <si>
    <t>Pt</t>
  </si>
  <si>
    <t>So</t>
  </si>
  <si>
    <t>Nd</t>
  </si>
  <si>
    <t>Pn</t>
  </si>
  <si>
    <t>Wt</t>
  </si>
  <si>
    <t>Godziny pracy według harmonogramu</t>
  </si>
  <si>
    <t>od</t>
  </si>
  <si>
    <t>do</t>
  </si>
  <si>
    <t>Liczba</t>
  </si>
  <si>
    <t>symbol</t>
  </si>
  <si>
    <t>liczba godzin</t>
  </si>
  <si>
    <t>zaplanowane nieobecnści</t>
  </si>
  <si>
    <t>Okres rozliczeniowy</t>
  </si>
  <si>
    <t>od:</t>
  </si>
  <si>
    <t>Stanowisko</t>
  </si>
  <si>
    <t>Wymiar etatu</t>
  </si>
  <si>
    <t>Wymiar czasu pracy</t>
  </si>
  <si>
    <t>Komórka Organizacyjna</t>
  </si>
  <si>
    <t>UP Poznań 1</t>
  </si>
  <si>
    <t>ilość dni</t>
  </si>
  <si>
    <t>RAZEM Kwiecień</t>
  </si>
  <si>
    <t>RAZEM Maj</t>
  </si>
  <si>
    <t>RAZEM Czerwiec</t>
  </si>
  <si>
    <t>KOZBUR</t>
  </si>
  <si>
    <t>KOSMACZ</t>
  </si>
  <si>
    <t>KWIATKOWSKI</t>
  </si>
  <si>
    <t>KANTOR</t>
  </si>
  <si>
    <t>ZYGADLO</t>
  </si>
  <si>
    <t>KALMAN</t>
  </si>
  <si>
    <t>JANKOWIAK</t>
  </si>
  <si>
    <t>Kontrola</t>
  </si>
  <si>
    <t>KOT</t>
  </si>
  <si>
    <t>DUDZIAK</t>
  </si>
  <si>
    <t>GRABA</t>
  </si>
  <si>
    <t>DUDZIAK W</t>
  </si>
  <si>
    <t>KG-POMOC</t>
  </si>
  <si>
    <t>Okienko 1</t>
  </si>
  <si>
    <t>Okienko 2</t>
  </si>
  <si>
    <t>Okienko 3</t>
  </si>
  <si>
    <t>Okienko 4</t>
  </si>
  <si>
    <t>Okienko 5</t>
  </si>
  <si>
    <t>SLAWINSKA-KANTOR</t>
  </si>
  <si>
    <t>TH MG</t>
  </si>
  <si>
    <t>KWIATKOWSKI NA URLOPIE</t>
  </si>
  <si>
    <t>KWIATKOWSKI NA URLOPIE, KALMAN NA URLOPIE</t>
  </si>
  <si>
    <t>GRABA NA URLOPIE</t>
  </si>
  <si>
    <t>Kozbur</t>
  </si>
  <si>
    <t>Kosmacz</t>
  </si>
  <si>
    <t>Kwiatkowski</t>
  </si>
  <si>
    <t>Zygadło</t>
  </si>
  <si>
    <t>Kalman</t>
  </si>
  <si>
    <t>Graba</t>
  </si>
  <si>
    <t>Jankowiak</t>
  </si>
</sst>
</file>

<file path=xl/styles.xml><?xml version="1.0" encoding="utf-8"?>
<styleSheet xmlns="http://schemas.openxmlformats.org/spreadsheetml/2006/main">
  <numFmts count="1">
    <numFmt numFmtId="164" formatCode="[h]:mm"/>
  </numFmts>
  <fonts count="4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b/>
      <sz val="14"/>
      <color theme="1"/>
      <name val="Czcionka tekstu podstawowego"/>
      <charset val="238"/>
    </font>
    <font>
      <b/>
      <sz val="10"/>
      <color theme="1"/>
      <name val="Czcionka tekstu podstawowego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46" fontId="0" fillId="0" borderId="7" xfId="0" applyNumberFormat="1" applyBorder="1" applyAlignment="1">
      <alignment horizontal="center"/>
    </xf>
    <xf numFmtId="20" fontId="0" fillId="0" borderId="7" xfId="0" applyNumberFormat="1" applyBorder="1"/>
    <xf numFmtId="20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0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/>
    <xf numFmtId="1" fontId="0" fillId="0" borderId="17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textRotation="90"/>
    </xf>
    <xf numFmtId="0" fontId="0" fillId="0" borderId="12" xfId="0" applyBorder="1"/>
    <xf numFmtId="20" fontId="0" fillId="0" borderId="12" xfId="0" applyNumberFormat="1" applyBorder="1"/>
    <xf numFmtId="0" fontId="0" fillId="0" borderId="0" xfId="0" applyBorder="1" applyAlignment="1"/>
    <xf numFmtId="0" fontId="0" fillId="0" borderId="10" xfId="0" applyFill="1" applyBorder="1"/>
    <xf numFmtId="0" fontId="0" fillId="0" borderId="11" xfId="0" applyBorder="1"/>
    <xf numFmtId="20" fontId="0" fillId="0" borderId="11" xfId="0" applyNumberFormat="1" applyBorder="1"/>
    <xf numFmtId="20" fontId="0" fillId="0" borderId="37" xfId="0" applyNumberFormat="1" applyBorder="1"/>
    <xf numFmtId="0" fontId="0" fillId="0" borderId="37" xfId="0" applyBorder="1"/>
    <xf numFmtId="0" fontId="0" fillId="0" borderId="32" xfId="0" applyFill="1" applyBorder="1"/>
    <xf numFmtId="0" fontId="0" fillId="0" borderId="0" xfId="0" applyBorder="1"/>
    <xf numFmtId="20" fontId="0" fillId="0" borderId="0" xfId="0" applyNumberFormat="1" applyBorder="1"/>
    <xf numFmtId="0" fontId="0" fillId="0" borderId="0" xfId="0" applyBorder="1" applyAlignment="1">
      <alignment textRotation="90"/>
    </xf>
    <xf numFmtId="0" fontId="0" fillId="0" borderId="36" xfId="0" applyBorder="1"/>
    <xf numFmtId="0" fontId="0" fillId="0" borderId="10" xfId="0" applyBorder="1"/>
    <xf numFmtId="0" fontId="0" fillId="0" borderId="32" xfId="0" applyBorder="1"/>
    <xf numFmtId="22" fontId="0" fillId="0" borderId="0" xfId="0" applyNumberFormat="1"/>
    <xf numFmtId="1" fontId="0" fillId="0" borderId="40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1" fillId="0" borderId="8" xfId="0" applyNumberFormat="1" applyFont="1" applyFill="1" applyBorder="1" applyAlignment="1">
      <alignment horizontal="center"/>
    </xf>
    <xf numFmtId="164" fontId="1" fillId="0" borderId="9" xfId="0" applyNumberFormat="1" applyFont="1" applyFill="1" applyBorder="1" applyAlignment="1">
      <alignment horizontal="center"/>
    </xf>
    <xf numFmtId="164" fontId="1" fillId="0" borderId="24" xfId="0" applyNumberFormat="1" applyFont="1" applyFill="1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16" fontId="0" fillId="0" borderId="7" xfId="0" applyNumberFormat="1" applyBorder="1" applyAlignment="1">
      <alignment horizontal="center" vertical="center" textRotation="90"/>
    </xf>
    <xf numFmtId="0" fontId="2" fillId="0" borderId="3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0" fillId="0" borderId="8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</cellXfs>
  <cellStyles count="1">
    <cellStyle name="Normalny" xfId="0" builtinId="0"/>
  </cellStyles>
  <dxfs count="21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grafik_poczta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rafik_poczta" connectionId="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rafik_poczta" connectionId="6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grafik_poczta" connectionId="7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grafik_poczta" connectionId="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grafik_poczta" connectionId="9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grafik_poczta" connectionId="10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grafik_poczta_okienka_1" connectionId="4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grafik_poczta_okienka_1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opLeftCell="A82" workbookViewId="0">
      <selection activeCell="J95" sqref="J95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51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17">
        <v>0.375</v>
      </c>
      <c r="E39" s="17">
        <v>0.72916666666666663</v>
      </c>
      <c r="F39" s="17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17">
        <v>0</v>
      </c>
      <c r="E73" s="17">
        <v>0</v>
      </c>
      <c r="F73" s="17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4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8">
        <v>6</v>
      </c>
      <c r="C106" s="8" t="s">
        <v>9</v>
      </c>
      <c r="D106" s="7">
        <v>0</v>
      </c>
      <c r="E106" s="7">
        <v>0</v>
      </c>
      <c r="F106" s="8"/>
      <c r="G106" s="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6:C6"/>
    <mergeCell ref="A8:A9"/>
    <mergeCell ref="B8:B9"/>
    <mergeCell ref="C8:C9"/>
    <mergeCell ref="D8:F8"/>
    <mergeCell ref="G8:H8"/>
    <mergeCell ref="A1:C1"/>
    <mergeCell ref="A2:C2"/>
    <mergeCell ref="A3:C3"/>
    <mergeCell ref="A4:C4"/>
    <mergeCell ref="D1:H1"/>
    <mergeCell ref="D2:H2"/>
    <mergeCell ref="D3:H3"/>
    <mergeCell ref="D4:H4"/>
    <mergeCell ref="A107:C109"/>
    <mergeCell ref="F108:H108"/>
    <mergeCell ref="D109:E109"/>
    <mergeCell ref="A40:C42"/>
    <mergeCell ref="D42:E42"/>
    <mergeCell ref="F41:H41"/>
    <mergeCell ref="A74:C76"/>
    <mergeCell ref="F75:H75"/>
    <mergeCell ref="D76:E76"/>
  </mergeCells>
  <conditionalFormatting sqref="H10:H39">
    <cfRule type="cellIs" dxfId="20" priority="3" operator="greaterThan">
      <formula>0</formula>
    </cfRule>
  </conditionalFormatting>
  <conditionalFormatting sqref="H43:H73">
    <cfRule type="cellIs" dxfId="19" priority="2" operator="greaterThan">
      <formula>0</formula>
    </cfRule>
  </conditionalFormatting>
  <conditionalFormatting sqref="H77:H106">
    <cfRule type="cellIs" dxfId="18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9"/>
  <sheetViews>
    <sheetView topLeftCell="A55" workbookViewId="0">
      <selection activeCell="H24" sqref="H24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52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26">
        <v>0.375</v>
      </c>
      <c r="E39" s="26">
        <v>0.72916666666666663</v>
      </c>
      <c r="F39" s="26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26">
        <v>0</v>
      </c>
      <c r="E73" s="26">
        <v>0</v>
      </c>
      <c r="F73" s="26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5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18">
        <v>6</v>
      </c>
      <c r="C106" s="18" t="s">
        <v>9</v>
      </c>
      <c r="D106" s="7">
        <v>0</v>
      </c>
      <c r="E106" s="7">
        <v>0</v>
      </c>
      <c r="F106" s="18"/>
      <c r="G106" s="1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107:C109"/>
    <mergeCell ref="F108:H108"/>
    <mergeCell ref="D109:E109"/>
    <mergeCell ref="A40:C42"/>
    <mergeCell ref="F41:H41"/>
    <mergeCell ref="D42:E42"/>
    <mergeCell ref="A74:C76"/>
    <mergeCell ref="F75:H75"/>
    <mergeCell ref="D76:E76"/>
    <mergeCell ref="A4:C4"/>
    <mergeCell ref="D4:H4"/>
    <mergeCell ref="A6:C6"/>
    <mergeCell ref="A8:A9"/>
    <mergeCell ref="B8:B9"/>
    <mergeCell ref="C8:C9"/>
    <mergeCell ref="D8:F8"/>
    <mergeCell ref="G8:H8"/>
    <mergeCell ref="A1:C1"/>
    <mergeCell ref="D1:H1"/>
    <mergeCell ref="A2:C2"/>
    <mergeCell ref="D2:H2"/>
    <mergeCell ref="A3:C3"/>
    <mergeCell ref="D3:H3"/>
  </mergeCells>
  <conditionalFormatting sqref="H10:H39">
    <cfRule type="cellIs" dxfId="17" priority="3" operator="greaterThan">
      <formula>0</formula>
    </cfRule>
  </conditionalFormatting>
  <conditionalFormatting sqref="H43:H73">
    <cfRule type="cellIs" dxfId="16" priority="2" operator="greaterThan">
      <formula>0</formula>
    </cfRule>
  </conditionalFormatting>
  <conditionalFormatting sqref="H77:H106">
    <cfRule type="cellIs" dxfId="15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9"/>
  <sheetViews>
    <sheetView topLeftCell="A82" workbookViewId="0">
      <selection activeCell="H90" sqref="H90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53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26">
        <v>0.375</v>
      </c>
      <c r="E39" s="26">
        <v>0.72916666666666663</v>
      </c>
      <c r="F39" s="26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26">
        <v>0</v>
      </c>
      <c r="E73" s="26">
        <v>0</v>
      </c>
      <c r="F73" s="26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5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18">
        <v>6</v>
      </c>
      <c r="C106" s="18" t="s">
        <v>9</v>
      </c>
      <c r="D106" s="7">
        <v>0</v>
      </c>
      <c r="E106" s="7">
        <v>0</v>
      </c>
      <c r="F106" s="18"/>
      <c r="G106" s="1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107:C109"/>
    <mergeCell ref="F108:H108"/>
    <mergeCell ref="D109:E109"/>
    <mergeCell ref="A40:C42"/>
    <mergeCell ref="F41:H41"/>
    <mergeCell ref="D42:E42"/>
    <mergeCell ref="A74:C76"/>
    <mergeCell ref="F75:H75"/>
    <mergeCell ref="D76:E76"/>
    <mergeCell ref="A4:C4"/>
    <mergeCell ref="D4:H4"/>
    <mergeCell ref="A6:C6"/>
    <mergeCell ref="A8:A9"/>
    <mergeCell ref="B8:B9"/>
    <mergeCell ref="C8:C9"/>
    <mergeCell ref="D8:F8"/>
    <mergeCell ref="G8:H8"/>
    <mergeCell ref="A1:C1"/>
    <mergeCell ref="D1:H1"/>
    <mergeCell ref="A2:C2"/>
    <mergeCell ref="D2:H2"/>
    <mergeCell ref="A3:C3"/>
    <mergeCell ref="D3:H3"/>
  </mergeCells>
  <conditionalFormatting sqref="H10:H39">
    <cfRule type="cellIs" dxfId="14" priority="3" operator="greaterThan">
      <formula>0</formula>
    </cfRule>
  </conditionalFormatting>
  <conditionalFormatting sqref="H43:H73">
    <cfRule type="cellIs" dxfId="13" priority="2" operator="greaterThan">
      <formula>0</formula>
    </cfRule>
  </conditionalFormatting>
  <conditionalFormatting sqref="H77:H106">
    <cfRule type="cellIs" dxfId="1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9"/>
  <sheetViews>
    <sheetView topLeftCell="A73" workbookViewId="0">
      <selection activeCell="H90" sqref="H90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54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26">
        <v>0.375</v>
      </c>
      <c r="E39" s="26">
        <v>0.72916666666666663</v>
      </c>
      <c r="F39" s="26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26">
        <v>0</v>
      </c>
      <c r="E73" s="26">
        <v>0</v>
      </c>
      <c r="F73" s="26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5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18">
        <v>6</v>
      </c>
      <c r="C106" s="18" t="s">
        <v>9</v>
      </c>
      <c r="D106" s="7">
        <v>0</v>
      </c>
      <c r="E106" s="7">
        <v>0</v>
      </c>
      <c r="F106" s="18"/>
      <c r="G106" s="1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107:C109"/>
    <mergeCell ref="F108:H108"/>
    <mergeCell ref="D109:E109"/>
    <mergeCell ref="A40:C42"/>
    <mergeCell ref="F41:H41"/>
    <mergeCell ref="D42:E42"/>
    <mergeCell ref="A74:C76"/>
    <mergeCell ref="F75:H75"/>
    <mergeCell ref="D76:E76"/>
    <mergeCell ref="A4:C4"/>
    <mergeCell ref="D4:H4"/>
    <mergeCell ref="A6:C6"/>
    <mergeCell ref="A8:A9"/>
    <mergeCell ref="B8:B9"/>
    <mergeCell ref="C8:C9"/>
    <mergeCell ref="D8:F8"/>
    <mergeCell ref="G8:H8"/>
    <mergeCell ref="A1:C1"/>
    <mergeCell ref="D1:H1"/>
    <mergeCell ref="A2:C2"/>
    <mergeCell ref="D2:H2"/>
    <mergeCell ref="A3:C3"/>
    <mergeCell ref="D3:H3"/>
  </mergeCells>
  <conditionalFormatting sqref="H10:H39">
    <cfRule type="cellIs" dxfId="11" priority="3" operator="greaterThan">
      <formula>0</formula>
    </cfRule>
  </conditionalFormatting>
  <conditionalFormatting sqref="H43:H73">
    <cfRule type="cellIs" dxfId="10" priority="2" operator="greaterThan">
      <formula>0</formula>
    </cfRule>
  </conditionalFormatting>
  <conditionalFormatting sqref="H77:H106">
    <cfRule type="cellIs" dxfId="9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9"/>
  <sheetViews>
    <sheetView topLeftCell="A79" workbookViewId="0">
      <selection activeCell="H90" sqref="H90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55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26">
        <v>0.375</v>
      </c>
      <c r="E39" s="26">
        <v>0.72916666666666663</v>
      </c>
      <c r="F39" s="26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26">
        <v>0</v>
      </c>
      <c r="E73" s="26">
        <v>0</v>
      </c>
      <c r="F73" s="26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5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18">
        <v>6</v>
      </c>
      <c r="C106" s="18" t="s">
        <v>9</v>
      </c>
      <c r="D106" s="7">
        <v>0</v>
      </c>
      <c r="E106" s="7">
        <v>0</v>
      </c>
      <c r="F106" s="18"/>
      <c r="G106" s="1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107:C109"/>
    <mergeCell ref="F108:H108"/>
    <mergeCell ref="D109:E109"/>
    <mergeCell ref="A40:C42"/>
    <mergeCell ref="F41:H41"/>
    <mergeCell ref="D42:E42"/>
    <mergeCell ref="A74:C76"/>
    <mergeCell ref="F75:H75"/>
    <mergeCell ref="D76:E76"/>
    <mergeCell ref="A4:C4"/>
    <mergeCell ref="D4:H4"/>
    <mergeCell ref="A6:C6"/>
    <mergeCell ref="A8:A9"/>
    <mergeCell ref="B8:B9"/>
    <mergeCell ref="C8:C9"/>
    <mergeCell ref="D8:F8"/>
    <mergeCell ref="G8:H8"/>
    <mergeCell ref="A1:C1"/>
    <mergeCell ref="D1:H1"/>
    <mergeCell ref="A2:C2"/>
    <mergeCell ref="D2:H2"/>
    <mergeCell ref="A3:C3"/>
    <mergeCell ref="D3:H3"/>
  </mergeCells>
  <conditionalFormatting sqref="H10:H39">
    <cfRule type="cellIs" dxfId="8" priority="3" operator="greaterThan">
      <formula>0</formula>
    </cfRule>
  </conditionalFormatting>
  <conditionalFormatting sqref="H43:H73">
    <cfRule type="cellIs" dxfId="7" priority="2" operator="greaterThan">
      <formula>0</formula>
    </cfRule>
  </conditionalFormatting>
  <conditionalFormatting sqref="H77:H106">
    <cfRule type="cellIs" dxfId="6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9"/>
  <sheetViews>
    <sheetView topLeftCell="A76" workbookViewId="0">
      <selection activeCell="H90" sqref="H90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56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26">
        <v>0.375</v>
      </c>
      <c r="E39" s="26">
        <v>0.72916666666666663</v>
      </c>
      <c r="F39" s="26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26">
        <v>0</v>
      </c>
      <c r="E73" s="26">
        <v>0</v>
      </c>
      <c r="F73" s="26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5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18">
        <v>6</v>
      </c>
      <c r="C106" s="18" t="s">
        <v>9</v>
      </c>
      <c r="D106" s="7">
        <v>0</v>
      </c>
      <c r="E106" s="7">
        <v>0</v>
      </c>
      <c r="F106" s="18"/>
      <c r="G106" s="1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107:C109"/>
    <mergeCell ref="F108:H108"/>
    <mergeCell ref="D109:E109"/>
    <mergeCell ref="A40:C42"/>
    <mergeCell ref="F41:H41"/>
    <mergeCell ref="D42:E42"/>
    <mergeCell ref="A74:C76"/>
    <mergeCell ref="F75:H75"/>
    <mergeCell ref="D76:E76"/>
    <mergeCell ref="A4:C4"/>
    <mergeCell ref="D4:H4"/>
    <mergeCell ref="A6:C6"/>
    <mergeCell ref="A8:A9"/>
    <mergeCell ref="B8:B9"/>
    <mergeCell ref="C8:C9"/>
    <mergeCell ref="D8:F8"/>
    <mergeCell ref="G8:H8"/>
    <mergeCell ref="A1:C1"/>
    <mergeCell ref="D1:H1"/>
    <mergeCell ref="A2:C2"/>
    <mergeCell ref="D2:H2"/>
    <mergeCell ref="A3:C3"/>
    <mergeCell ref="D3:H3"/>
  </mergeCells>
  <conditionalFormatting sqref="H10:H39">
    <cfRule type="cellIs" dxfId="5" priority="3" operator="greaterThan">
      <formula>0</formula>
    </cfRule>
  </conditionalFormatting>
  <conditionalFormatting sqref="H43:H73">
    <cfRule type="cellIs" dxfId="4" priority="2" operator="greaterThan">
      <formula>0</formula>
    </cfRule>
  </conditionalFormatting>
  <conditionalFormatting sqref="H77:H106">
    <cfRule type="cellIs" dxfId="3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9"/>
  <sheetViews>
    <sheetView tabSelected="1" topLeftCell="A85" workbookViewId="0">
      <selection activeCell="H90" sqref="H90"/>
    </sheetView>
  </sheetViews>
  <sheetFormatPr defaultRowHeight="14.25"/>
  <cols>
    <col min="1" max="1" width="8.25" style="1" customWidth="1"/>
    <col min="2" max="2" width="10" style="1" customWidth="1"/>
    <col min="3" max="3" width="14.125" style="1" customWidth="1"/>
    <col min="4" max="4" width="12.75" style="1" customWidth="1"/>
    <col min="5" max="5" width="11.375" style="1" customWidth="1"/>
    <col min="6" max="6" width="9.5" style="1" customWidth="1"/>
    <col min="7" max="7" width="13.375" style="1" customWidth="1"/>
    <col min="8" max="8" width="13.625" style="1" customWidth="1"/>
    <col min="10" max="10" width="26" customWidth="1"/>
  </cols>
  <sheetData>
    <row r="1" spans="1:10">
      <c r="A1" s="59" t="s">
        <v>19</v>
      </c>
      <c r="B1" s="59"/>
      <c r="C1" s="59"/>
      <c r="D1" s="61" t="s">
        <v>57</v>
      </c>
      <c r="E1" s="61"/>
      <c r="F1" s="61"/>
      <c r="G1" s="61"/>
      <c r="H1" s="61"/>
    </row>
    <row r="2" spans="1:10">
      <c r="A2" s="60" t="s">
        <v>22</v>
      </c>
      <c r="B2" s="60"/>
      <c r="C2" s="60"/>
      <c r="D2" s="60" t="s">
        <v>23</v>
      </c>
      <c r="E2" s="60"/>
      <c r="F2" s="60"/>
      <c r="G2" s="60"/>
      <c r="H2" s="60"/>
    </row>
    <row r="3" spans="1:10">
      <c r="A3" s="59" t="s">
        <v>20</v>
      </c>
      <c r="B3" s="59"/>
      <c r="C3" s="59"/>
      <c r="D3" s="60">
        <v>1</v>
      </c>
      <c r="E3" s="60"/>
      <c r="F3" s="60"/>
      <c r="G3" s="60"/>
      <c r="H3" s="60"/>
    </row>
    <row r="4" spans="1:10" ht="15">
      <c r="A4" s="59" t="s">
        <v>21</v>
      </c>
      <c r="B4" s="59"/>
      <c r="C4" s="59"/>
      <c r="D4" s="62">
        <f>SUM(F40, H40, F74, H74, F107, H107)</f>
        <v>19.986111111111107</v>
      </c>
      <c r="E4" s="63"/>
      <c r="F4" s="63"/>
      <c r="G4" s="63"/>
      <c r="H4" s="63"/>
      <c r="J4" s="47"/>
    </row>
    <row r="6" spans="1:10" ht="15" customHeight="1">
      <c r="A6" s="60" t="s">
        <v>17</v>
      </c>
      <c r="B6" s="60"/>
      <c r="C6" s="60"/>
      <c r="D6" s="2" t="s">
        <v>18</v>
      </c>
      <c r="E6" s="3">
        <v>46113</v>
      </c>
      <c r="F6" s="2"/>
      <c r="G6" s="2" t="s">
        <v>12</v>
      </c>
      <c r="H6" s="3">
        <v>46203</v>
      </c>
    </row>
    <row r="7" spans="1:10" ht="22.5" customHeight="1"/>
    <row r="8" spans="1:10">
      <c r="A8" s="60" t="s">
        <v>0</v>
      </c>
      <c r="B8" s="60" t="s">
        <v>1</v>
      </c>
      <c r="C8" s="60" t="s">
        <v>2</v>
      </c>
      <c r="D8" s="60" t="s">
        <v>10</v>
      </c>
      <c r="E8" s="60"/>
      <c r="F8" s="60"/>
      <c r="G8" s="60" t="s">
        <v>16</v>
      </c>
      <c r="H8" s="60"/>
    </row>
    <row r="9" spans="1:10" ht="18" customHeight="1" thickBot="1">
      <c r="A9" s="64"/>
      <c r="B9" s="64"/>
      <c r="C9" s="64"/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</row>
    <row r="10" spans="1:10">
      <c r="A10" s="11">
        <v>1</v>
      </c>
      <c r="B10" s="12">
        <v>4</v>
      </c>
      <c r="C10" s="12" t="s">
        <v>3</v>
      </c>
      <c r="D10" s="13">
        <v>0.27083333333333331</v>
      </c>
      <c r="E10" s="13">
        <v>0.47916666666666669</v>
      </c>
      <c r="F10" s="13">
        <v>0.20833333333333334</v>
      </c>
      <c r="G10" s="12">
        <v>0</v>
      </c>
      <c r="H10" s="20">
        <v>0</v>
      </c>
    </row>
    <row r="11" spans="1:10">
      <c r="A11" s="14">
        <v>2</v>
      </c>
      <c r="B11" s="2">
        <v>4</v>
      </c>
      <c r="C11" s="2" t="s">
        <v>4</v>
      </c>
      <c r="D11" s="4">
        <v>0.27083333333333331</v>
      </c>
      <c r="E11" s="4">
        <v>0.60416666666666663</v>
      </c>
      <c r="F11" s="4">
        <v>0.33333333333333331</v>
      </c>
      <c r="G11" s="2">
        <v>0</v>
      </c>
      <c r="H11" s="21">
        <v>0</v>
      </c>
    </row>
    <row r="12" spans="1:10">
      <c r="A12" s="14">
        <v>3</v>
      </c>
      <c r="B12" s="2">
        <v>4</v>
      </c>
      <c r="C12" s="2" t="s">
        <v>5</v>
      </c>
      <c r="D12" s="4">
        <v>0.27083333333333331</v>
      </c>
      <c r="E12" s="4">
        <v>0.64583333333333337</v>
      </c>
      <c r="F12" s="4">
        <v>0.375</v>
      </c>
      <c r="G12" s="2">
        <v>0</v>
      </c>
      <c r="H12" s="21">
        <v>0</v>
      </c>
    </row>
    <row r="13" spans="1:10">
      <c r="A13" s="14">
        <v>4</v>
      </c>
      <c r="B13" s="2">
        <v>4</v>
      </c>
      <c r="C13" s="2" t="s">
        <v>6</v>
      </c>
      <c r="D13" s="4">
        <v>0</v>
      </c>
      <c r="E13" s="4">
        <v>0</v>
      </c>
      <c r="F13" s="4">
        <v>0</v>
      </c>
      <c r="G13" s="2">
        <v>0</v>
      </c>
      <c r="H13" s="21">
        <v>0</v>
      </c>
    </row>
    <row r="14" spans="1:10">
      <c r="A14" s="14">
        <v>5</v>
      </c>
      <c r="B14" s="2">
        <v>4</v>
      </c>
      <c r="C14" s="2" t="s">
        <v>7</v>
      </c>
      <c r="D14" s="4">
        <v>0</v>
      </c>
      <c r="E14" s="4">
        <v>0</v>
      </c>
      <c r="F14" s="4">
        <v>0</v>
      </c>
      <c r="G14" s="2">
        <v>0</v>
      </c>
      <c r="H14" s="21">
        <v>0</v>
      </c>
    </row>
    <row r="15" spans="1:10">
      <c r="A15" s="14">
        <v>6</v>
      </c>
      <c r="B15" s="2">
        <v>4</v>
      </c>
      <c r="C15" s="2" t="s">
        <v>8</v>
      </c>
      <c r="D15" s="4">
        <v>0</v>
      </c>
      <c r="E15" s="4">
        <v>0</v>
      </c>
      <c r="F15" s="4">
        <v>0</v>
      </c>
      <c r="G15" s="2">
        <v>0</v>
      </c>
      <c r="H15" s="21">
        <v>0</v>
      </c>
    </row>
    <row r="16" spans="1:10">
      <c r="A16" s="14">
        <v>7</v>
      </c>
      <c r="B16" s="2">
        <v>4</v>
      </c>
      <c r="C16" s="2" t="s">
        <v>9</v>
      </c>
      <c r="D16" s="4">
        <v>0.5</v>
      </c>
      <c r="E16" s="4">
        <v>0.86458333333333337</v>
      </c>
      <c r="F16" s="4">
        <v>0.36458333333333331</v>
      </c>
      <c r="G16" s="2">
        <v>0</v>
      </c>
      <c r="H16" s="21">
        <v>0</v>
      </c>
    </row>
    <row r="17" spans="1:8">
      <c r="A17" s="14">
        <v>8</v>
      </c>
      <c r="B17" s="2">
        <v>4</v>
      </c>
      <c r="C17" s="2" t="s">
        <v>3</v>
      </c>
      <c r="D17" s="4">
        <v>0.52083333333333337</v>
      </c>
      <c r="E17" s="4">
        <v>0.86458333333333337</v>
      </c>
      <c r="F17" s="4">
        <v>0.34375</v>
      </c>
      <c r="G17" s="2">
        <v>0</v>
      </c>
      <c r="H17" s="21">
        <v>0</v>
      </c>
    </row>
    <row r="18" spans="1:8">
      <c r="A18" s="14">
        <v>9</v>
      </c>
      <c r="B18" s="2">
        <v>4</v>
      </c>
      <c r="C18" s="2" t="s">
        <v>4</v>
      </c>
      <c r="D18" s="4">
        <v>0.52083333333333337</v>
      </c>
      <c r="E18" s="4">
        <v>0.86458333333333337</v>
      </c>
      <c r="F18" s="4">
        <v>0.34375</v>
      </c>
      <c r="G18" s="2">
        <v>0</v>
      </c>
      <c r="H18" s="21">
        <v>0</v>
      </c>
    </row>
    <row r="19" spans="1:8">
      <c r="A19" s="14">
        <v>10</v>
      </c>
      <c r="B19" s="2">
        <v>4</v>
      </c>
      <c r="C19" s="2" t="s">
        <v>5</v>
      </c>
      <c r="D19" s="4">
        <v>0.52083333333333337</v>
      </c>
      <c r="E19" s="4">
        <v>0.86458333333333337</v>
      </c>
      <c r="F19" s="4">
        <v>0.34375</v>
      </c>
      <c r="G19" s="2">
        <v>0</v>
      </c>
      <c r="H19" s="21">
        <v>0</v>
      </c>
    </row>
    <row r="20" spans="1:8">
      <c r="A20" s="14">
        <v>11</v>
      </c>
      <c r="B20" s="2">
        <v>4</v>
      </c>
      <c r="C20" s="2" t="s">
        <v>6</v>
      </c>
      <c r="D20" s="4">
        <v>0</v>
      </c>
      <c r="E20" s="4">
        <v>0</v>
      </c>
      <c r="F20" s="4">
        <v>0</v>
      </c>
      <c r="G20" s="2">
        <v>0</v>
      </c>
      <c r="H20" s="21">
        <v>0</v>
      </c>
    </row>
    <row r="21" spans="1:8">
      <c r="A21" s="14">
        <v>12</v>
      </c>
      <c r="B21" s="2">
        <v>4</v>
      </c>
      <c r="C21" s="2" t="s">
        <v>7</v>
      </c>
      <c r="D21" s="4">
        <v>0</v>
      </c>
      <c r="E21" s="4">
        <v>0</v>
      </c>
      <c r="F21" s="4">
        <v>0</v>
      </c>
      <c r="G21" s="2">
        <v>0</v>
      </c>
      <c r="H21" s="21">
        <v>0</v>
      </c>
    </row>
    <row r="22" spans="1:8">
      <c r="A22" s="14">
        <v>13</v>
      </c>
      <c r="B22" s="2">
        <v>4</v>
      </c>
      <c r="C22" s="2" t="s">
        <v>8</v>
      </c>
      <c r="D22" s="4">
        <v>0.29166666666666669</v>
      </c>
      <c r="E22" s="4">
        <v>0.63194444444444442</v>
      </c>
      <c r="F22" s="4">
        <v>0.34027777777777773</v>
      </c>
      <c r="G22" s="2">
        <v>0</v>
      </c>
      <c r="H22" s="21">
        <v>0</v>
      </c>
    </row>
    <row r="23" spans="1:8">
      <c r="A23" s="14">
        <v>14</v>
      </c>
      <c r="B23" s="2">
        <v>4</v>
      </c>
      <c r="C23" s="2" t="s">
        <v>9</v>
      </c>
      <c r="D23" s="4">
        <v>0.29166666666666669</v>
      </c>
      <c r="E23" s="4">
        <v>0.5625</v>
      </c>
      <c r="F23" s="4">
        <v>0.27083333333333331</v>
      </c>
      <c r="G23" s="2">
        <v>0</v>
      </c>
      <c r="H23" s="21">
        <v>0</v>
      </c>
    </row>
    <row r="24" spans="1:8">
      <c r="A24" s="14">
        <v>15</v>
      </c>
      <c r="B24" s="2">
        <v>4</v>
      </c>
      <c r="C24" s="2" t="s">
        <v>3</v>
      </c>
      <c r="D24" s="4">
        <v>0.29166666666666669</v>
      </c>
      <c r="E24" s="4">
        <v>0.5625</v>
      </c>
      <c r="F24" s="4">
        <v>0.27083333333333331</v>
      </c>
      <c r="G24" s="2">
        <v>0</v>
      </c>
      <c r="H24" s="21">
        <v>0</v>
      </c>
    </row>
    <row r="25" spans="1:8">
      <c r="A25" s="14">
        <v>16</v>
      </c>
      <c r="B25" s="2">
        <v>4</v>
      </c>
      <c r="C25" s="2" t="s">
        <v>4</v>
      </c>
      <c r="D25" s="4">
        <v>0.29166666666666669</v>
      </c>
      <c r="E25" s="4">
        <v>0.66666666666666663</v>
      </c>
      <c r="F25" s="4">
        <v>0.375</v>
      </c>
      <c r="G25" s="2">
        <v>0</v>
      </c>
      <c r="H25" s="21">
        <v>0</v>
      </c>
    </row>
    <row r="26" spans="1:8">
      <c r="A26" s="14">
        <v>17</v>
      </c>
      <c r="B26" s="2">
        <v>4</v>
      </c>
      <c r="C26" s="2" t="s">
        <v>5</v>
      </c>
      <c r="D26" s="4">
        <v>0.29166666666666669</v>
      </c>
      <c r="E26" s="4">
        <v>0.66666666666666663</v>
      </c>
      <c r="F26" s="4">
        <v>0.375</v>
      </c>
      <c r="G26" s="2">
        <v>0</v>
      </c>
      <c r="H26" s="21">
        <v>0</v>
      </c>
    </row>
    <row r="27" spans="1:8">
      <c r="A27" s="14">
        <v>18</v>
      </c>
      <c r="B27" s="2">
        <v>4</v>
      </c>
      <c r="C27" s="2" t="s">
        <v>6</v>
      </c>
      <c r="D27" s="4">
        <v>0</v>
      </c>
      <c r="E27" s="4">
        <v>0</v>
      </c>
      <c r="F27" s="4">
        <v>0</v>
      </c>
      <c r="G27" s="2">
        <v>0</v>
      </c>
      <c r="H27" s="21">
        <v>0</v>
      </c>
    </row>
    <row r="28" spans="1:8">
      <c r="A28" s="14">
        <v>19</v>
      </c>
      <c r="B28" s="2">
        <v>4</v>
      </c>
      <c r="C28" s="2" t="s">
        <v>7</v>
      </c>
      <c r="D28" s="4">
        <v>0</v>
      </c>
      <c r="E28" s="4">
        <v>0</v>
      </c>
      <c r="F28" s="4">
        <v>0</v>
      </c>
      <c r="G28" s="2">
        <v>0</v>
      </c>
      <c r="H28" s="21">
        <v>0</v>
      </c>
    </row>
    <row r="29" spans="1:8">
      <c r="A29" s="14">
        <v>20</v>
      </c>
      <c r="B29" s="2">
        <v>4</v>
      </c>
      <c r="C29" s="2" t="s">
        <v>8</v>
      </c>
      <c r="D29" s="4">
        <v>0.375</v>
      </c>
      <c r="E29" s="4">
        <v>0.75</v>
      </c>
      <c r="F29" s="4">
        <v>0.375</v>
      </c>
      <c r="G29" s="2">
        <v>0</v>
      </c>
      <c r="H29" s="21">
        <v>0</v>
      </c>
    </row>
    <row r="30" spans="1:8">
      <c r="A30" s="14">
        <v>21</v>
      </c>
      <c r="B30" s="2">
        <v>4</v>
      </c>
      <c r="C30" s="2" t="s">
        <v>9</v>
      </c>
      <c r="D30" s="4">
        <v>0.45833333333333331</v>
      </c>
      <c r="E30" s="4">
        <v>0.83333333333333337</v>
      </c>
      <c r="F30" s="4">
        <v>0.375</v>
      </c>
      <c r="G30" s="2">
        <v>0</v>
      </c>
      <c r="H30" s="21">
        <v>0</v>
      </c>
    </row>
    <row r="31" spans="1:8">
      <c r="A31" s="14">
        <v>22</v>
      </c>
      <c r="B31" s="2">
        <v>4</v>
      </c>
      <c r="C31" s="2" t="s">
        <v>3</v>
      </c>
      <c r="D31" s="4">
        <v>0.45833333333333331</v>
      </c>
      <c r="E31" s="4">
        <v>0.83333333333333337</v>
      </c>
      <c r="F31" s="4">
        <v>0.375</v>
      </c>
      <c r="G31" s="2">
        <v>0</v>
      </c>
      <c r="H31" s="21">
        <v>0</v>
      </c>
    </row>
    <row r="32" spans="1:8">
      <c r="A32" s="14">
        <v>23</v>
      </c>
      <c r="B32" s="2">
        <v>4</v>
      </c>
      <c r="C32" s="2" t="s">
        <v>4</v>
      </c>
      <c r="D32" s="4">
        <v>0.45833333333333331</v>
      </c>
      <c r="E32" s="4">
        <v>0.83333333333333337</v>
      </c>
      <c r="F32" s="4">
        <v>0.375</v>
      </c>
      <c r="G32" s="2">
        <v>0</v>
      </c>
      <c r="H32" s="21">
        <v>0</v>
      </c>
    </row>
    <row r="33" spans="1:8">
      <c r="A33" s="14">
        <v>24</v>
      </c>
      <c r="B33" s="2">
        <v>4</v>
      </c>
      <c r="C33" s="2" t="s">
        <v>5</v>
      </c>
      <c r="D33" s="4">
        <v>0.45833333333333331</v>
      </c>
      <c r="E33" s="4">
        <v>0.83333333333333337</v>
      </c>
      <c r="F33" s="4">
        <v>0.375</v>
      </c>
      <c r="G33" s="2">
        <v>0</v>
      </c>
      <c r="H33" s="21">
        <v>0</v>
      </c>
    </row>
    <row r="34" spans="1:8">
      <c r="A34" s="14">
        <v>25</v>
      </c>
      <c r="B34" s="2">
        <v>4</v>
      </c>
      <c r="C34" s="2" t="s">
        <v>6</v>
      </c>
      <c r="D34" s="4">
        <v>0</v>
      </c>
      <c r="E34" s="4">
        <v>0</v>
      </c>
      <c r="F34" s="4">
        <v>0</v>
      </c>
      <c r="G34" s="2">
        <v>0</v>
      </c>
      <c r="H34" s="21">
        <v>0</v>
      </c>
    </row>
    <row r="35" spans="1:8">
      <c r="A35" s="14">
        <v>26</v>
      </c>
      <c r="B35" s="2">
        <v>4</v>
      </c>
      <c r="C35" s="2" t="s">
        <v>7</v>
      </c>
      <c r="D35" s="4">
        <v>0</v>
      </c>
      <c r="E35" s="4">
        <v>0</v>
      </c>
      <c r="F35" s="4">
        <v>0</v>
      </c>
      <c r="G35" s="2">
        <v>0</v>
      </c>
      <c r="H35" s="21">
        <v>0</v>
      </c>
    </row>
    <row r="36" spans="1:8">
      <c r="A36" s="14">
        <v>27</v>
      </c>
      <c r="B36" s="2">
        <v>4</v>
      </c>
      <c r="C36" s="2" t="s">
        <v>8</v>
      </c>
      <c r="D36" s="4">
        <v>0.4375</v>
      </c>
      <c r="E36" s="4">
        <v>0.77083333333333337</v>
      </c>
      <c r="F36" s="4">
        <v>0.33333333333333331</v>
      </c>
      <c r="G36" s="2">
        <v>0</v>
      </c>
      <c r="H36" s="21">
        <v>0</v>
      </c>
    </row>
    <row r="37" spans="1:8">
      <c r="A37" s="14">
        <v>28</v>
      </c>
      <c r="B37" s="2">
        <v>4</v>
      </c>
      <c r="C37" s="2" t="s">
        <v>9</v>
      </c>
      <c r="D37" s="4">
        <v>0.4375</v>
      </c>
      <c r="E37" s="4">
        <v>0.77083333333333337</v>
      </c>
      <c r="F37" s="4">
        <v>0.33333333333333331</v>
      </c>
      <c r="G37" s="2">
        <v>0</v>
      </c>
      <c r="H37" s="21">
        <v>0</v>
      </c>
    </row>
    <row r="38" spans="1:8">
      <c r="A38" s="14">
        <v>29</v>
      </c>
      <c r="B38" s="2">
        <v>4</v>
      </c>
      <c r="C38" s="2" t="s">
        <v>3</v>
      </c>
      <c r="D38" s="4">
        <v>0.4375</v>
      </c>
      <c r="E38" s="4">
        <v>0.77083333333333337</v>
      </c>
      <c r="F38" s="4">
        <v>0.33333333333333331</v>
      </c>
      <c r="G38" s="2">
        <v>0</v>
      </c>
      <c r="H38" s="21">
        <v>0</v>
      </c>
    </row>
    <row r="39" spans="1:8" ht="15" thickBot="1">
      <c r="A39" s="15">
        <v>30</v>
      </c>
      <c r="B39" s="16">
        <v>4</v>
      </c>
      <c r="C39" s="16" t="s">
        <v>4</v>
      </c>
      <c r="D39" s="26">
        <v>0.375</v>
      </c>
      <c r="E39" s="26">
        <v>0.72916666666666663</v>
      </c>
      <c r="F39" s="26">
        <v>0.35416666666666669</v>
      </c>
      <c r="G39" s="16">
        <v>0</v>
      </c>
      <c r="H39" s="22">
        <v>0</v>
      </c>
    </row>
    <row r="40" spans="1:8" ht="15">
      <c r="A40" s="49" t="s">
        <v>25</v>
      </c>
      <c r="B40" s="50"/>
      <c r="C40" s="50"/>
      <c r="D40" s="13"/>
      <c r="E40" s="13"/>
      <c r="F40" s="24">
        <f>SUM(F10:F39)</f>
        <v>7.1736111111111107</v>
      </c>
      <c r="G40" s="12"/>
      <c r="H40" s="25">
        <f>SUM(H10:H39)/24</f>
        <v>0</v>
      </c>
    </row>
    <row r="41" spans="1:8" ht="15">
      <c r="A41" s="51"/>
      <c r="B41" s="52"/>
      <c r="C41" s="52"/>
      <c r="D41" s="4"/>
      <c r="E41" s="4"/>
      <c r="F41" s="55">
        <f>F40+H40</f>
        <v>7.1736111111111107</v>
      </c>
      <c r="G41" s="56"/>
      <c r="H41" s="57"/>
    </row>
    <row r="42" spans="1:8" ht="15.75" thickBot="1">
      <c r="A42" s="53"/>
      <c r="B42" s="54"/>
      <c r="C42" s="54"/>
      <c r="D42" s="58" t="s">
        <v>24</v>
      </c>
      <c r="E42" s="58"/>
      <c r="F42" s="27">
        <f>COUNTIF(F10:F39, "&gt;0")</f>
        <v>21</v>
      </c>
      <c r="G42" s="28"/>
      <c r="H42" s="29">
        <f>COUNTIF(H10:H39, "&gt;0")</f>
        <v>0</v>
      </c>
    </row>
    <row r="43" spans="1:8">
      <c r="A43" s="23">
        <v>1</v>
      </c>
      <c r="B43" s="10">
        <v>5</v>
      </c>
      <c r="C43" s="10" t="s">
        <v>5</v>
      </c>
      <c r="D43" s="9">
        <v>0</v>
      </c>
      <c r="E43" s="9">
        <v>0</v>
      </c>
      <c r="F43" s="9">
        <v>0</v>
      </c>
      <c r="G43" s="10">
        <v>0</v>
      </c>
      <c r="H43" s="48">
        <v>0</v>
      </c>
    </row>
    <row r="44" spans="1:8">
      <c r="A44" s="14">
        <v>2</v>
      </c>
      <c r="B44" s="2">
        <v>5</v>
      </c>
      <c r="C44" s="2" t="s">
        <v>6</v>
      </c>
      <c r="D44" s="4">
        <v>0</v>
      </c>
      <c r="E44" s="4">
        <v>0</v>
      </c>
      <c r="F44" s="4">
        <v>0</v>
      </c>
      <c r="G44" s="2">
        <v>0</v>
      </c>
      <c r="H44" s="21">
        <v>0</v>
      </c>
    </row>
    <row r="45" spans="1:8">
      <c r="A45" s="14">
        <v>3</v>
      </c>
      <c r="B45" s="2">
        <v>5</v>
      </c>
      <c r="C45" s="2" t="s">
        <v>7</v>
      </c>
      <c r="D45" s="4">
        <v>0</v>
      </c>
      <c r="E45" s="4">
        <v>0</v>
      </c>
      <c r="F45" s="4">
        <v>0</v>
      </c>
      <c r="G45" s="2">
        <v>0</v>
      </c>
      <c r="H45" s="21">
        <v>0</v>
      </c>
    </row>
    <row r="46" spans="1:8">
      <c r="A46" s="14">
        <v>4</v>
      </c>
      <c r="B46" s="2">
        <v>5</v>
      </c>
      <c r="C46" s="2" t="s">
        <v>8</v>
      </c>
      <c r="D46" s="4">
        <v>0.27083333333333331</v>
      </c>
      <c r="E46" s="4">
        <v>0.58333333333333337</v>
      </c>
      <c r="F46" s="4">
        <v>0.3125</v>
      </c>
      <c r="G46" s="2">
        <v>0</v>
      </c>
      <c r="H46" s="21">
        <v>0</v>
      </c>
    </row>
    <row r="47" spans="1:8">
      <c r="A47" s="14">
        <v>5</v>
      </c>
      <c r="B47" s="2">
        <v>5</v>
      </c>
      <c r="C47" s="2" t="s">
        <v>9</v>
      </c>
      <c r="D47" s="4">
        <v>0.27083333333333331</v>
      </c>
      <c r="E47" s="4">
        <v>0.58333333333333337</v>
      </c>
      <c r="F47" s="4">
        <v>0.3125</v>
      </c>
      <c r="G47" s="2">
        <v>0</v>
      </c>
      <c r="H47" s="21">
        <v>0</v>
      </c>
    </row>
    <row r="48" spans="1:8">
      <c r="A48" s="14">
        <v>6</v>
      </c>
      <c r="B48" s="2">
        <v>5</v>
      </c>
      <c r="C48" s="2" t="s">
        <v>3</v>
      </c>
      <c r="D48" s="4">
        <v>0.27083333333333331</v>
      </c>
      <c r="E48" s="4">
        <v>0.58333333333333337</v>
      </c>
      <c r="F48" s="4">
        <v>0.3125</v>
      </c>
      <c r="G48" s="2">
        <v>0</v>
      </c>
      <c r="H48" s="21">
        <v>0</v>
      </c>
    </row>
    <row r="49" spans="1:8">
      <c r="A49" s="14">
        <v>7</v>
      </c>
      <c r="B49" s="2">
        <v>5</v>
      </c>
      <c r="C49" s="2" t="s">
        <v>4</v>
      </c>
      <c r="D49" s="4">
        <v>0.27083333333333331</v>
      </c>
      <c r="E49" s="4">
        <v>0.58333333333333337</v>
      </c>
      <c r="F49" s="4">
        <v>0.3125</v>
      </c>
      <c r="G49" s="2">
        <v>0</v>
      </c>
      <c r="H49" s="21">
        <v>0</v>
      </c>
    </row>
    <row r="50" spans="1:8">
      <c r="A50" s="14">
        <v>8</v>
      </c>
      <c r="B50" s="2">
        <v>5</v>
      </c>
      <c r="C50" s="2" t="s">
        <v>5</v>
      </c>
      <c r="D50" s="4">
        <v>0.27083333333333331</v>
      </c>
      <c r="E50" s="4">
        <v>0.60416666666666663</v>
      </c>
      <c r="F50" s="4">
        <v>0.33333333333333331</v>
      </c>
      <c r="G50" s="2">
        <v>0</v>
      </c>
      <c r="H50" s="21">
        <v>0</v>
      </c>
    </row>
    <row r="51" spans="1:8">
      <c r="A51" s="14">
        <v>9</v>
      </c>
      <c r="B51" s="2">
        <v>5</v>
      </c>
      <c r="C51" s="2" t="s">
        <v>6</v>
      </c>
      <c r="D51" s="4">
        <v>0</v>
      </c>
      <c r="E51" s="4">
        <v>0</v>
      </c>
      <c r="F51" s="4"/>
      <c r="G51" s="2">
        <v>0</v>
      </c>
      <c r="H51" s="21">
        <v>0</v>
      </c>
    </row>
    <row r="52" spans="1:8">
      <c r="A52" s="14">
        <v>10</v>
      </c>
      <c r="B52" s="2">
        <v>5</v>
      </c>
      <c r="C52" s="2" t="s">
        <v>7</v>
      </c>
      <c r="D52" s="4">
        <v>0</v>
      </c>
      <c r="E52" s="4">
        <v>0</v>
      </c>
      <c r="F52" s="4"/>
      <c r="G52" s="2">
        <v>0</v>
      </c>
      <c r="H52" s="21">
        <v>0</v>
      </c>
    </row>
    <row r="53" spans="1:8">
      <c r="A53" s="14">
        <v>11</v>
      </c>
      <c r="B53" s="2">
        <v>5</v>
      </c>
      <c r="C53" s="2" t="s">
        <v>8</v>
      </c>
      <c r="D53" s="4">
        <v>0.33333333333333331</v>
      </c>
      <c r="E53" s="4">
        <v>0.70833333333333337</v>
      </c>
      <c r="F53" s="4">
        <v>0.375</v>
      </c>
      <c r="G53" s="2">
        <v>0</v>
      </c>
      <c r="H53" s="21">
        <v>0</v>
      </c>
    </row>
    <row r="54" spans="1:8">
      <c r="A54" s="14">
        <v>12</v>
      </c>
      <c r="B54" s="2">
        <v>5</v>
      </c>
      <c r="C54" s="2" t="s">
        <v>9</v>
      </c>
      <c r="D54" s="4">
        <v>0.29166666666666669</v>
      </c>
      <c r="E54" s="4">
        <v>0.58333333333333337</v>
      </c>
      <c r="F54" s="4">
        <v>0.29166666666666669</v>
      </c>
      <c r="G54" s="2">
        <v>0</v>
      </c>
      <c r="H54" s="21">
        <v>0</v>
      </c>
    </row>
    <row r="55" spans="1:8">
      <c r="A55" s="14">
        <v>13</v>
      </c>
      <c r="B55" s="2">
        <v>5</v>
      </c>
      <c r="C55" s="2" t="s">
        <v>3</v>
      </c>
      <c r="D55" s="4">
        <v>0.29166666666666669</v>
      </c>
      <c r="E55" s="4">
        <v>0.58333333333333337</v>
      </c>
      <c r="F55" s="4">
        <v>0.29166666666666669</v>
      </c>
      <c r="G55" s="2">
        <v>0</v>
      </c>
      <c r="H55" s="21">
        <v>0</v>
      </c>
    </row>
    <row r="56" spans="1:8">
      <c r="A56" s="14">
        <v>14</v>
      </c>
      <c r="B56" s="2">
        <v>5</v>
      </c>
      <c r="C56" s="2" t="s">
        <v>4</v>
      </c>
      <c r="D56" s="4">
        <v>0.29166666666666669</v>
      </c>
      <c r="E56" s="4">
        <v>0.58333333333333337</v>
      </c>
      <c r="F56" s="4">
        <v>0.29166666666666669</v>
      </c>
      <c r="G56" s="2">
        <v>0</v>
      </c>
      <c r="H56" s="21">
        <v>0</v>
      </c>
    </row>
    <row r="57" spans="1:8">
      <c r="A57" s="14">
        <v>15</v>
      </c>
      <c r="B57" s="2">
        <v>5</v>
      </c>
      <c r="C57" s="2" t="s">
        <v>5</v>
      </c>
      <c r="D57" s="4">
        <v>0.33333333333333331</v>
      </c>
      <c r="E57" s="4">
        <v>0.70833333333333337</v>
      </c>
      <c r="F57" s="4">
        <v>0.375</v>
      </c>
      <c r="G57" s="2">
        <v>0</v>
      </c>
      <c r="H57" s="21">
        <v>0</v>
      </c>
    </row>
    <row r="58" spans="1:8">
      <c r="A58" s="14">
        <v>16</v>
      </c>
      <c r="B58" s="2">
        <v>5</v>
      </c>
      <c r="C58" s="2" t="s">
        <v>6</v>
      </c>
      <c r="D58" s="4">
        <v>0</v>
      </c>
      <c r="E58" s="4">
        <v>0</v>
      </c>
      <c r="F58" s="4"/>
      <c r="G58" s="2">
        <v>0</v>
      </c>
      <c r="H58" s="21">
        <v>0</v>
      </c>
    </row>
    <row r="59" spans="1:8">
      <c r="A59" s="14">
        <v>17</v>
      </c>
      <c r="B59" s="2">
        <v>5</v>
      </c>
      <c r="C59" s="2" t="s">
        <v>7</v>
      </c>
      <c r="D59" s="4">
        <v>0</v>
      </c>
      <c r="E59" s="4">
        <v>0</v>
      </c>
      <c r="F59" s="4"/>
      <c r="G59" s="2">
        <v>0</v>
      </c>
      <c r="H59" s="21">
        <v>0</v>
      </c>
    </row>
    <row r="60" spans="1:8">
      <c r="A60" s="14">
        <v>18</v>
      </c>
      <c r="B60" s="2">
        <v>5</v>
      </c>
      <c r="C60" s="2" t="s">
        <v>8</v>
      </c>
      <c r="D60" s="4">
        <v>0.58333333333333337</v>
      </c>
      <c r="E60" s="4">
        <v>0.86458333333333337</v>
      </c>
      <c r="F60" s="4">
        <v>0.28125</v>
      </c>
      <c r="G60" s="2">
        <v>0</v>
      </c>
      <c r="H60" s="21">
        <v>0</v>
      </c>
    </row>
    <row r="61" spans="1:8">
      <c r="A61" s="14">
        <v>19</v>
      </c>
      <c r="B61" s="2">
        <v>5</v>
      </c>
      <c r="C61" s="2" t="s">
        <v>9</v>
      </c>
      <c r="D61" s="4">
        <v>0.58333333333333337</v>
      </c>
      <c r="E61" s="4">
        <v>0.86458333333333337</v>
      </c>
      <c r="F61" s="4">
        <v>0.28125</v>
      </c>
      <c r="G61" s="2">
        <v>0</v>
      </c>
      <c r="H61" s="21">
        <v>0</v>
      </c>
    </row>
    <row r="62" spans="1:8">
      <c r="A62" s="14">
        <v>20</v>
      </c>
      <c r="B62" s="2">
        <v>5</v>
      </c>
      <c r="C62" s="2" t="s">
        <v>3</v>
      </c>
      <c r="D62" s="4">
        <v>0.5</v>
      </c>
      <c r="E62" s="4">
        <v>0.86458333333333337</v>
      </c>
      <c r="F62" s="4">
        <v>0.36458333333333331</v>
      </c>
      <c r="G62" s="2">
        <v>0</v>
      </c>
      <c r="H62" s="21">
        <v>0</v>
      </c>
    </row>
    <row r="63" spans="1:8">
      <c r="A63" s="14">
        <v>21</v>
      </c>
      <c r="B63" s="2">
        <v>5</v>
      </c>
      <c r="C63" s="2" t="s">
        <v>4</v>
      </c>
      <c r="D63" s="4">
        <v>0.5</v>
      </c>
      <c r="E63" s="4">
        <v>0.86458333333333337</v>
      </c>
      <c r="F63" s="4">
        <v>0.36458333333333331</v>
      </c>
      <c r="G63" s="2">
        <v>0</v>
      </c>
      <c r="H63" s="21">
        <v>0</v>
      </c>
    </row>
    <row r="64" spans="1:8">
      <c r="A64" s="14">
        <v>22</v>
      </c>
      <c r="B64" s="2">
        <v>5</v>
      </c>
      <c r="C64" s="2" t="s">
        <v>5</v>
      </c>
      <c r="D64" s="4">
        <v>0.5</v>
      </c>
      <c r="E64" s="4">
        <v>0.86458333333333337</v>
      </c>
      <c r="F64" s="4">
        <v>0.36458333333333331</v>
      </c>
      <c r="G64" s="2">
        <v>0</v>
      </c>
      <c r="H64" s="21">
        <v>0</v>
      </c>
    </row>
    <row r="65" spans="1:8">
      <c r="A65" s="14">
        <v>23</v>
      </c>
      <c r="B65" s="2">
        <v>5</v>
      </c>
      <c r="C65" s="2" t="s">
        <v>6</v>
      </c>
      <c r="D65" s="4">
        <v>0</v>
      </c>
      <c r="E65" s="4">
        <v>0</v>
      </c>
      <c r="F65" s="4"/>
      <c r="G65" s="2">
        <v>0</v>
      </c>
      <c r="H65" s="21">
        <v>0</v>
      </c>
    </row>
    <row r="66" spans="1:8">
      <c r="A66" s="14">
        <v>24</v>
      </c>
      <c r="B66" s="2">
        <v>5</v>
      </c>
      <c r="C66" s="2" t="s">
        <v>7</v>
      </c>
      <c r="D66" s="4">
        <v>0</v>
      </c>
      <c r="E66" s="4">
        <v>0</v>
      </c>
      <c r="F66" s="4"/>
      <c r="G66" s="2">
        <v>0</v>
      </c>
      <c r="H66" s="21">
        <v>0</v>
      </c>
    </row>
    <row r="67" spans="1:8">
      <c r="A67" s="14">
        <v>25</v>
      </c>
      <c r="B67" s="2">
        <v>5</v>
      </c>
      <c r="C67" s="2" t="s">
        <v>8</v>
      </c>
      <c r="D67" s="4">
        <v>0.52083333333333337</v>
      </c>
      <c r="E67" s="4">
        <v>0.85416666666666663</v>
      </c>
      <c r="F67" s="4">
        <v>0.33333333333333331</v>
      </c>
      <c r="G67" s="2">
        <v>0</v>
      </c>
      <c r="H67" s="21">
        <v>0</v>
      </c>
    </row>
    <row r="68" spans="1:8">
      <c r="A68" s="14">
        <v>26</v>
      </c>
      <c r="B68" s="2">
        <v>5</v>
      </c>
      <c r="C68" s="2" t="s">
        <v>9</v>
      </c>
      <c r="D68" s="4">
        <v>0.52083333333333337</v>
      </c>
      <c r="E68" s="4">
        <v>0.8125</v>
      </c>
      <c r="F68" s="4">
        <v>0.29166666666666669</v>
      </c>
      <c r="G68" s="2">
        <v>0</v>
      </c>
      <c r="H68" s="21">
        <v>0</v>
      </c>
    </row>
    <row r="69" spans="1:8">
      <c r="A69" s="14">
        <v>27</v>
      </c>
      <c r="B69" s="2">
        <v>5</v>
      </c>
      <c r="C69" s="2" t="s">
        <v>3</v>
      </c>
      <c r="D69" s="4">
        <v>0.52083333333333337</v>
      </c>
      <c r="E69" s="4">
        <v>0.8125</v>
      </c>
      <c r="F69" s="4">
        <v>0.29166666666666669</v>
      </c>
      <c r="G69" s="2">
        <v>0</v>
      </c>
      <c r="H69" s="21">
        <v>0</v>
      </c>
    </row>
    <row r="70" spans="1:8">
      <c r="A70" s="14">
        <v>28</v>
      </c>
      <c r="B70" s="2">
        <v>5</v>
      </c>
      <c r="C70" s="2" t="s">
        <v>4</v>
      </c>
      <c r="D70" s="4">
        <v>0.375</v>
      </c>
      <c r="E70" s="4">
        <v>0.72916666666666663</v>
      </c>
      <c r="F70" s="4">
        <v>0.35416666666666669</v>
      </c>
      <c r="G70" s="2">
        <v>0</v>
      </c>
      <c r="H70" s="21">
        <v>0</v>
      </c>
    </row>
    <row r="71" spans="1:8">
      <c r="A71" s="14">
        <v>29</v>
      </c>
      <c r="B71" s="2">
        <v>5</v>
      </c>
      <c r="C71" s="2" t="s">
        <v>5</v>
      </c>
      <c r="D71" s="4">
        <v>0.375</v>
      </c>
      <c r="E71" s="4">
        <v>0.72916666666666663</v>
      </c>
      <c r="F71" s="4">
        <v>0.35416666666666669</v>
      </c>
      <c r="G71" s="2">
        <v>0</v>
      </c>
      <c r="H71" s="21">
        <v>0</v>
      </c>
    </row>
    <row r="72" spans="1:8">
      <c r="A72" s="14">
        <v>30</v>
      </c>
      <c r="B72" s="2">
        <v>5</v>
      </c>
      <c r="C72" s="2" t="s">
        <v>6</v>
      </c>
      <c r="D72" s="4">
        <v>0</v>
      </c>
      <c r="E72" s="4">
        <v>0</v>
      </c>
      <c r="F72" s="4"/>
      <c r="G72" s="2">
        <v>0</v>
      </c>
      <c r="H72" s="21">
        <v>0</v>
      </c>
    </row>
    <row r="73" spans="1:8" ht="15" thickBot="1">
      <c r="A73" s="15">
        <v>31</v>
      </c>
      <c r="B73" s="16">
        <v>5</v>
      </c>
      <c r="C73" s="16" t="s">
        <v>7</v>
      </c>
      <c r="D73" s="26">
        <v>0</v>
      </c>
      <c r="E73" s="26">
        <v>0</v>
      </c>
      <c r="F73" s="26"/>
      <c r="G73" s="16">
        <v>0</v>
      </c>
      <c r="H73" s="21">
        <v>0</v>
      </c>
    </row>
    <row r="74" spans="1:8" ht="15">
      <c r="A74" s="49" t="s">
        <v>26</v>
      </c>
      <c r="B74" s="50"/>
      <c r="C74" s="50"/>
      <c r="D74" s="13"/>
      <c r="E74" s="13"/>
      <c r="F74" s="24">
        <f>SUM(F44:F73)</f>
        <v>6.489583333333333</v>
      </c>
      <c r="G74" s="12"/>
      <c r="H74" s="25">
        <f>SUM(H43:H73)/24</f>
        <v>0</v>
      </c>
    </row>
    <row r="75" spans="1:8" ht="15">
      <c r="A75" s="51"/>
      <c r="B75" s="52"/>
      <c r="C75" s="52"/>
      <c r="D75" s="4"/>
      <c r="E75" s="4"/>
      <c r="F75" s="55">
        <f>F74+H74</f>
        <v>6.489583333333333</v>
      </c>
      <c r="G75" s="56"/>
      <c r="H75" s="57"/>
    </row>
    <row r="76" spans="1:8" ht="15.75" thickBot="1">
      <c r="A76" s="53"/>
      <c r="B76" s="54"/>
      <c r="C76" s="54"/>
      <c r="D76" s="58" t="s">
        <v>24</v>
      </c>
      <c r="E76" s="58"/>
      <c r="F76" s="27">
        <f>COUNTIF(F43:F73, "&gt;0")</f>
        <v>20</v>
      </c>
      <c r="G76" s="28"/>
      <c r="H76" s="29">
        <f>COUNTIF(H44:H73, "&gt;0")</f>
        <v>0</v>
      </c>
    </row>
    <row r="77" spans="1:8">
      <c r="A77" s="23">
        <v>1</v>
      </c>
      <c r="B77" s="10">
        <v>6</v>
      </c>
      <c r="C77" s="10" t="s">
        <v>8</v>
      </c>
      <c r="D77" s="9">
        <v>0.27083333333333331</v>
      </c>
      <c r="E77" s="9">
        <v>0.60416666666666663</v>
      </c>
      <c r="F77" s="9">
        <v>0.33333333333333331</v>
      </c>
      <c r="G77" s="10">
        <v>0</v>
      </c>
      <c r="H77" s="21">
        <v>0</v>
      </c>
    </row>
    <row r="78" spans="1:8">
      <c r="A78" s="14">
        <v>2</v>
      </c>
      <c r="B78" s="2">
        <v>6</v>
      </c>
      <c r="C78" s="2" t="s">
        <v>9</v>
      </c>
      <c r="D78" s="4">
        <v>0.27083333333333331</v>
      </c>
      <c r="E78" s="4">
        <v>0.60416666666666663</v>
      </c>
      <c r="F78" s="4">
        <v>0.33333333333333331</v>
      </c>
      <c r="G78" s="2">
        <v>0</v>
      </c>
      <c r="H78" s="21">
        <v>0</v>
      </c>
    </row>
    <row r="79" spans="1:8">
      <c r="A79" s="14">
        <v>3</v>
      </c>
      <c r="B79" s="2">
        <v>6</v>
      </c>
      <c r="C79" s="2" t="s">
        <v>3</v>
      </c>
      <c r="D79" s="4">
        <v>0.27083333333333331</v>
      </c>
      <c r="E79" s="4">
        <v>0.60416666666666663</v>
      </c>
      <c r="F79" s="5">
        <v>0.33333333333333331</v>
      </c>
      <c r="G79" s="2">
        <v>0</v>
      </c>
      <c r="H79" s="21">
        <v>0</v>
      </c>
    </row>
    <row r="80" spans="1:8">
      <c r="A80" s="14">
        <v>4</v>
      </c>
      <c r="B80" s="2">
        <v>6</v>
      </c>
      <c r="C80" s="2" t="s">
        <v>4</v>
      </c>
      <c r="D80" s="4">
        <v>0</v>
      </c>
      <c r="E80" s="4">
        <v>0</v>
      </c>
      <c r="F80" s="4"/>
      <c r="G80" s="2">
        <v>0</v>
      </c>
      <c r="H80" s="21">
        <v>0</v>
      </c>
    </row>
    <row r="81" spans="1:8">
      <c r="A81" s="14">
        <v>5</v>
      </c>
      <c r="B81" s="2">
        <v>6</v>
      </c>
      <c r="C81" s="2" t="s">
        <v>5</v>
      </c>
      <c r="D81" s="4">
        <v>0.27083333333333331</v>
      </c>
      <c r="E81" s="4">
        <v>0.60416666666666663</v>
      </c>
      <c r="F81" s="4">
        <v>0.33333333333333331</v>
      </c>
      <c r="G81" s="2">
        <v>0</v>
      </c>
      <c r="H81" s="21">
        <v>0</v>
      </c>
    </row>
    <row r="82" spans="1:8">
      <c r="A82" s="14">
        <v>6</v>
      </c>
      <c r="B82" s="2">
        <v>6</v>
      </c>
      <c r="C82" s="2" t="s">
        <v>6</v>
      </c>
      <c r="D82" s="4">
        <v>0</v>
      </c>
      <c r="E82" s="4">
        <v>0</v>
      </c>
      <c r="F82" s="5"/>
      <c r="G82" s="2">
        <v>0</v>
      </c>
      <c r="H82" s="21">
        <v>0</v>
      </c>
    </row>
    <row r="83" spans="1:8">
      <c r="A83" s="14">
        <v>7</v>
      </c>
      <c r="B83" s="2">
        <v>6</v>
      </c>
      <c r="C83" s="2" t="s">
        <v>7</v>
      </c>
      <c r="D83" s="4">
        <v>0</v>
      </c>
      <c r="E83" s="4">
        <v>0</v>
      </c>
      <c r="F83" s="5"/>
      <c r="G83" s="2">
        <v>0</v>
      </c>
      <c r="H83" s="21">
        <v>0</v>
      </c>
    </row>
    <row r="84" spans="1:8">
      <c r="A84" s="14">
        <v>8</v>
      </c>
      <c r="B84" s="2">
        <v>6</v>
      </c>
      <c r="C84" s="2" t="s">
        <v>8</v>
      </c>
      <c r="D84" s="4">
        <v>0.41666666666666669</v>
      </c>
      <c r="E84" s="4">
        <v>0.79166666666666663</v>
      </c>
      <c r="F84" s="4">
        <v>0.375</v>
      </c>
      <c r="G84" s="2">
        <v>0</v>
      </c>
      <c r="H84" s="21">
        <v>0</v>
      </c>
    </row>
    <row r="85" spans="1:8">
      <c r="A85" s="14">
        <v>9</v>
      </c>
      <c r="B85" s="2">
        <v>6</v>
      </c>
      <c r="C85" s="2" t="s">
        <v>9</v>
      </c>
      <c r="D85" s="4">
        <v>0.41666666666666669</v>
      </c>
      <c r="E85" s="4">
        <v>0.79166666666666663</v>
      </c>
      <c r="F85" s="4">
        <v>0.375</v>
      </c>
      <c r="G85" s="2">
        <v>0</v>
      </c>
      <c r="H85" s="21">
        <v>0</v>
      </c>
    </row>
    <row r="86" spans="1:8">
      <c r="A86" s="14">
        <v>10</v>
      </c>
      <c r="B86" s="2">
        <v>6</v>
      </c>
      <c r="C86" s="2" t="s">
        <v>3</v>
      </c>
      <c r="D86" s="4">
        <v>0.41666666666666669</v>
      </c>
      <c r="E86" s="4">
        <v>0.79166666666666663</v>
      </c>
      <c r="F86" s="4">
        <v>0.375</v>
      </c>
      <c r="G86" s="2">
        <v>0</v>
      </c>
      <c r="H86" s="21">
        <v>0</v>
      </c>
    </row>
    <row r="87" spans="1:8">
      <c r="A87" s="14">
        <v>11</v>
      </c>
      <c r="B87" s="2">
        <v>6</v>
      </c>
      <c r="C87" s="2" t="s">
        <v>4</v>
      </c>
      <c r="D87" s="4">
        <v>0.41666666666666669</v>
      </c>
      <c r="E87" s="4">
        <v>0.79166666666666663</v>
      </c>
      <c r="F87" s="4">
        <v>0.375</v>
      </c>
      <c r="G87" s="2">
        <v>0</v>
      </c>
      <c r="H87" s="21">
        <v>0</v>
      </c>
    </row>
    <row r="88" spans="1:8">
      <c r="A88" s="14">
        <v>12</v>
      </c>
      <c r="B88" s="2">
        <v>6</v>
      </c>
      <c r="C88" s="2" t="s">
        <v>5</v>
      </c>
      <c r="D88" s="4">
        <v>0.41666666666666669</v>
      </c>
      <c r="E88" s="4">
        <v>0.79166666666666663</v>
      </c>
      <c r="F88" s="4">
        <v>0.375</v>
      </c>
      <c r="G88" s="2">
        <v>0</v>
      </c>
      <c r="H88" s="21">
        <v>0</v>
      </c>
    </row>
    <row r="89" spans="1:8">
      <c r="A89" s="14">
        <v>13</v>
      </c>
      <c r="B89" s="2">
        <v>6</v>
      </c>
      <c r="C89" s="2" t="s">
        <v>6</v>
      </c>
      <c r="D89" s="4">
        <v>0</v>
      </c>
      <c r="E89" s="4">
        <v>0</v>
      </c>
      <c r="F89" s="2"/>
      <c r="G89" s="2">
        <v>0</v>
      </c>
      <c r="H89" s="21">
        <v>0</v>
      </c>
    </row>
    <row r="90" spans="1:8">
      <c r="A90" s="14">
        <v>14</v>
      </c>
      <c r="B90" s="2">
        <v>6</v>
      </c>
      <c r="C90" s="2" t="s">
        <v>7</v>
      </c>
      <c r="D90" s="4">
        <v>0</v>
      </c>
      <c r="E90" s="4">
        <v>0</v>
      </c>
      <c r="F90" s="2"/>
      <c r="G90" s="2">
        <v>0</v>
      </c>
      <c r="H90" s="21">
        <v>0</v>
      </c>
    </row>
    <row r="91" spans="1:8">
      <c r="A91" s="14">
        <v>15</v>
      </c>
      <c r="B91" s="2">
        <v>6</v>
      </c>
      <c r="C91" s="2" t="s">
        <v>8</v>
      </c>
      <c r="D91" s="4">
        <v>0.5625</v>
      </c>
      <c r="E91" s="4">
        <v>0.86458333333333337</v>
      </c>
      <c r="F91" s="4">
        <v>0.30208333333333331</v>
      </c>
      <c r="G91" s="2">
        <v>0</v>
      </c>
      <c r="H91" s="21">
        <v>0</v>
      </c>
    </row>
    <row r="92" spans="1:8">
      <c r="A92" s="14">
        <v>16</v>
      </c>
      <c r="B92" s="2">
        <v>6</v>
      </c>
      <c r="C92" s="2" t="s">
        <v>9</v>
      </c>
      <c r="D92" s="4">
        <v>0.5625</v>
      </c>
      <c r="E92" s="4">
        <v>0.86458333333333337</v>
      </c>
      <c r="F92" s="4">
        <v>0.30208333333333331</v>
      </c>
      <c r="G92" s="2">
        <v>0</v>
      </c>
      <c r="H92" s="21">
        <v>0</v>
      </c>
    </row>
    <row r="93" spans="1:8">
      <c r="A93" s="14">
        <v>17</v>
      </c>
      <c r="B93" s="2">
        <v>6</v>
      </c>
      <c r="C93" s="2" t="s">
        <v>3</v>
      </c>
      <c r="D93" s="4">
        <v>0.5625</v>
      </c>
      <c r="E93" s="4">
        <v>0.86458333333333337</v>
      </c>
      <c r="F93" s="4">
        <v>0.30208333333333331</v>
      </c>
      <c r="G93" s="2">
        <v>0</v>
      </c>
      <c r="H93" s="21">
        <v>0</v>
      </c>
    </row>
    <row r="94" spans="1:8">
      <c r="A94" s="14">
        <v>18</v>
      </c>
      <c r="B94" s="2">
        <v>6</v>
      </c>
      <c r="C94" s="2" t="s">
        <v>4</v>
      </c>
      <c r="D94" s="4">
        <v>0.48958333333333331</v>
      </c>
      <c r="E94" s="4">
        <v>0.86458333333333337</v>
      </c>
      <c r="F94" s="4">
        <v>0.375</v>
      </c>
      <c r="G94" s="2">
        <v>0</v>
      </c>
      <c r="H94" s="21">
        <v>0</v>
      </c>
    </row>
    <row r="95" spans="1:8">
      <c r="A95" s="14">
        <v>19</v>
      </c>
      <c r="B95" s="2">
        <v>6</v>
      </c>
      <c r="C95" s="2" t="s">
        <v>5</v>
      </c>
      <c r="D95" s="4">
        <v>0.48958333333333331</v>
      </c>
      <c r="E95" s="4">
        <v>0.86458333333333337</v>
      </c>
      <c r="F95" s="4">
        <v>0.375</v>
      </c>
      <c r="G95" s="2">
        <v>0</v>
      </c>
      <c r="H95" s="21">
        <v>0</v>
      </c>
    </row>
    <row r="96" spans="1:8">
      <c r="A96" s="14">
        <v>20</v>
      </c>
      <c r="B96" s="2">
        <v>6</v>
      </c>
      <c r="C96" s="2" t="s">
        <v>6</v>
      </c>
      <c r="D96" s="4">
        <v>0</v>
      </c>
      <c r="E96" s="4">
        <v>0</v>
      </c>
      <c r="F96" s="2"/>
      <c r="G96" s="2">
        <v>0</v>
      </c>
      <c r="H96" s="21">
        <v>0</v>
      </c>
    </row>
    <row r="97" spans="1:8">
      <c r="A97" s="14">
        <v>21</v>
      </c>
      <c r="B97" s="2">
        <v>6</v>
      </c>
      <c r="C97" s="2" t="s">
        <v>7</v>
      </c>
      <c r="D97" s="4">
        <v>0</v>
      </c>
      <c r="E97" s="4">
        <v>0</v>
      </c>
      <c r="F97" s="4">
        <v>0.375</v>
      </c>
      <c r="G97" s="2">
        <v>0</v>
      </c>
      <c r="H97" s="21">
        <v>0</v>
      </c>
    </row>
    <row r="98" spans="1:8">
      <c r="A98" s="14">
        <v>22</v>
      </c>
      <c r="B98" s="2">
        <v>6</v>
      </c>
      <c r="C98" s="2" t="s">
        <v>8</v>
      </c>
      <c r="D98" s="4">
        <v>0.27083333333333331</v>
      </c>
      <c r="E98" s="4">
        <v>0.64583333333333337</v>
      </c>
      <c r="F98" s="4">
        <v>0.27083333333333331</v>
      </c>
      <c r="G98" s="2">
        <v>0</v>
      </c>
      <c r="H98" s="21">
        <v>0</v>
      </c>
    </row>
    <row r="99" spans="1:8">
      <c r="A99" s="14">
        <v>23</v>
      </c>
      <c r="B99" s="2">
        <v>6</v>
      </c>
      <c r="C99" s="2" t="s">
        <v>9</v>
      </c>
      <c r="D99" s="4">
        <v>0.29166666666666669</v>
      </c>
      <c r="E99" s="4">
        <v>0.5625</v>
      </c>
      <c r="F99" s="4">
        <v>0.27083333333333331</v>
      </c>
      <c r="G99" s="2">
        <v>0</v>
      </c>
      <c r="H99" s="21">
        <v>0</v>
      </c>
    </row>
    <row r="100" spans="1:8">
      <c r="A100" s="14">
        <v>24</v>
      </c>
      <c r="B100" s="2">
        <v>6</v>
      </c>
      <c r="C100" s="2" t="s">
        <v>3</v>
      </c>
      <c r="D100" s="4">
        <v>0.29166666666666669</v>
      </c>
      <c r="E100" s="4">
        <v>0.5625</v>
      </c>
      <c r="F100" s="4">
        <v>0.27083333333333331</v>
      </c>
      <c r="G100" s="2">
        <v>0</v>
      </c>
      <c r="H100" s="21">
        <v>0</v>
      </c>
    </row>
    <row r="101" spans="1:8">
      <c r="A101" s="14">
        <v>25</v>
      </c>
      <c r="B101" s="2">
        <v>6</v>
      </c>
      <c r="C101" s="2" t="s">
        <v>4</v>
      </c>
      <c r="D101" s="4">
        <v>0.29166666666666669</v>
      </c>
      <c r="E101" s="4">
        <v>0.5625</v>
      </c>
      <c r="F101" s="4">
        <v>0.27083333333333331</v>
      </c>
      <c r="G101" s="2">
        <v>0</v>
      </c>
      <c r="H101" s="21">
        <v>0</v>
      </c>
    </row>
    <row r="102" spans="1:8">
      <c r="A102" s="14">
        <v>26</v>
      </c>
      <c r="B102" s="2">
        <v>6</v>
      </c>
      <c r="C102" s="2" t="s">
        <v>5</v>
      </c>
      <c r="D102" s="4">
        <v>0.29166666666666669</v>
      </c>
      <c r="E102" s="4">
        <v>0.5625</v>
      </c>
      <c r="F102" s="2"/>
      <c r="G102" s="2">
        <v>0</v>
      </c>
      <c r="H102" s="21">
        <v>0</v>
      </c>
    </row>
    <row r="103" spans="1:8">
      <c r="A103" s="14">
        <v>27</v>
      </c>
      <c r="B103" s="2">
        <v>6</v>
      </c>
      <c r="C103" s="2" t="s">
        <v>6</v>
      </c>
      <c r="D103" s="4">
        <v>0</v>
      </c>
      <c r="E103" s="4">
        <v>0</v>
      </c>
      <c r="F103" s="2"/>
      <c r="G103" s="2">
        <v>0</v>
      </c>
      <c r="H103" s="21">
        <v>0</v>
      </c>
    </row>
    <row r="104" spans="1:8">
      <c r="A104" s="14">
        <v>28</v>
      </c>
      <c r="B104" s="2">
        <v>6</v>
      </c>
      <c r="C104" s="2" t="s">
        <v>7</v>
      </c>
      <c r="D104" s="4">
        <v>0</v>
      </c>
      <c r="E104" s="4">
        <v>0</v>
      </c>
      <c r="F104" s="2"/>
      <c r="G104" s="2">
        <v>0</v>
      </c>
      <c r="H104" s="21">
        <v>0</v>
      </c>
    </row>
    <row r="105" spans="1:8">
      <c r="A105" s="14">
        <v>29</v>
      </c>
      <c r="B105" s="2">
        <v>6</v>
      </c>
      <c r="C105" s="2" t="s">
        <v>8</v>
      </c>
      <c r="D105" s="4">
        <v>0</v>
      </c>
      <c r="E105" s="4">
        <v>0</v>
      </c>
      <c r="F105" s="2"/>
      <c r="G105" s="2">
        <v>0</v>
      </c>
      <c r="H105" s="21">
        <v>0</v>
      </c>
    </row>
    <row r="106" spans="1:8" ht="15" thickBot="1">
      <c r="A106" s="30">
        <v>30</v>
      </c>
      <c r="B106" s="18">
        <v>6</v>
      </c>
      <c r="C106" s="18" t="s">
        <v>9</v>
      </c>
      <c r="D106" s="7">
        <v>0</v>
      </c>
      <c r="E106" s="7">
        <v>0</v>
      </c>
      <c r="F106" s="18"/>
      <c r="G106" s="18">
        <v>0</v>
      </c>
      <c r="H106" s="21">
        <v>0</v>
      </c>
    </row>
    <row r="107" spans="1:8" ht="15">
      <c r="A107" s="49" t="s">
        <v>27</v>
      </c>
      <c r="B107" s="50"/>
      <c r="C107" s="50"/>
      <c r="D107" s="13"/>
      <c r="E107" s="13"/>
      <c r="F107" s="24">
        <f>SUM(F77:F106)</f>
        <v>6.3229166666666652</v>
      </c>
      <c r="G107" s="12"/>
      <c r="H107" s="25">
        <f>SUM(H77:H106)/24</f>
        <v>0</v>
      </c>
    </row>
    <row r="108" spans="1:8" ht="15">
      <c r="A108" s="51"/>
      <c r="B108" s="52"/>
      <c r="C108" s="52"/>
      <c r="D108" s="4"/>
      <c r="E108" s="4"/>
      <c r="F108" s="55">
        <f>F107+H107</f>
        <v>6.3229166666666652</v>
      </c>
      <c r="G108" s="56"/>
      <c r="H108" s="57"/>
    </row>
    <row r="109" spans="1:8" ht="15.75" thickBot="1">
      <c r="A109" s="53"/>
      <c r="B109" s="54"/>
      <c r="C109" s="54"/>
      <c r="D109" s="58" t="s">
        <v>24</v>
      </c>
      <c r="E109" s="58"/>
      <c r="F109" s="27">
        <f>COUNTIF(F77:F106, "&gt;0")</f>
        <v>19</v>
      </c>
      <c r="G109" s="28"/>
      <c r="H109" s="29">
        <f>COUNTIF(H77:H106, "&gt;0")</f>
        <v>0</v>
      </c>
    </row>
  </sheetData>
  <mergeCells count="23">
    <mergeCell ref="A107:C109"/>
    <mergeCell ref="F108:H108"/>
    <mergeCell ref="D109:E109"/>
    <mergeCell ref="A40:C42"/>
    <mergeCell ref="F41:H41"/>
    <mergeCell ref="D42:E42"/>
    <mergeCell ref="A74:C76"/>
    <mergeCell ref="F75:H75"/>
    <mergeCell ref="D76:E76"/>
    <mergeCell ref="A4:C4"/>
    <mergeCell ref="D4:H4"/>
    <mergeCell ref="A6:C6"/>
    <mergeCell ref="A8:A9"/>
    <mergeCell ref="B8:B9"/>
    <mergeCell ref="C8:C9"/>
    <mergeCell ref="D8:F8"/>
    <mergeCell ref="G8:H8"/>
    <mergeCell ref="A1:C1"/>
    <mergeCell ref="D1:H1"/>
    <mergeCell ref="A2:C2"/>
    <mergeCell ref="D2:H2"/>
    <mergeCell ref="A3:C3"/>
    <mergeCell ref="D3:H3"/>
  </mergeCells>
  <conditionalFormatting sqref="H10:H39">
    <cfRule type="cellIs" dxfId="2" priority="3" operator="greaterThan">
      <formula>0</formula>
    </cfRule>
  </conditionalFormatting>
  <conditionalFormatting sqref="H43:H73">
    <cfRule type="cellIs" dxfId="1" priority="2" operator="greaterThan">
      <formula>0</formula>
    </cfRule>
  </conditionalFormatting>
  <conditionalFormatting sqref="H77:H10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6"/>
  <sheetViews>
    <sheetView zoomScaleNormal="100" workbookViewId="0">
      <selection activeCell="P10" sqref="P10"/>
    </sheetView>
  </sheetViews>
  <sheetFormatPr defaultRowHeight="14.25"/>
  <cols>
    <col min="1" max="1" width="6.5" style="31" customWidth="1"/>
    <col min="2" max="2" width="11.5" bestFit="1" customWidth="1"/>
    <col min="3" max="3" width="6.5" customWidth="1"/>
    <col min="4" max="4" width="6.25" customWidth="1"/>
    <col min="5" max="5" width="17.5" customWidth="1"/>
    <col min="6" max="7" width="5.375" customWidth="1"/>
    <col min="8" max="8" width="10.625" customWidth="1"/>
    <col min="9" max="9" width="7.25" customWidth="1"/>
    <col min="10" max="10" width="8.25" customWidth="1"/>
    <col min="11" max="11" width="14.25" bestFit="1" customWidth="1"/>
    <col min="12" max="13" width="5.375" customWidth="1"/>
    <col min="14" max="14" width="16.625" bestFit="1" customWidth="1"/>
  </cols>
  <sheetData>
    <row r="1" spans="1:14" ht="18.75" thickBot="1">
      <c r="A1" s="65">
        <v>46153</v>
      </c>
      <c r="B1" s="66" t="s">
        <v>41</v>
      </c>
      <c r="C1" s="67"/>
      <c r="D1" s="67"/>
      <c r="E1" s="67" t="s">
        <v>42</v>
      </c>
      <c r="F1" s="67"/>
      <c r="G1" s="67"/>
      <c r="H1" s="67" t="s">
        <v>43</v>
      </c>
      <c r="I1" s="67"/>
      <c r="J1" s="67"/>
      <c r="K1" s="67" t="s">
        <v>44</v>
      </c>
      <c r="L1" s="67"/>
      <c r="M1" s="68"/>
    </row>
    <row r="2" spans="1:14" ht="31.5" customHeight="1">
      <c r="A2" s="65"/>
      <c r="B2" s="44" t="s">
        <v>28</v>
      </c>
      <c r="C2" s="33">
        <v>0.33333333333333331</v>
      </c>
      <c r="D2" s="33">
        <v>0.70833333333333337</v>
      </c>
      <c r="E2" s="32" t="s">
        <v>29</v>
      </c>
      <c r="F2" s="33">
        <v>0.27083333333333331</v>
      </c>
      <c r="G2" s="33">
        <v>0.5625</v>
      </c>
      <c r="H2" s="32"/>
      <c r="I2" s="33"/>
      <c r="J2" s="33"/>
      <c r="K2" s="32"/>
      <c r="L2" s="33"/>
      <c r="M2" s="33"/>
    </row>
    <row r="3" spans="1:14">
      <c r="A3" s="65"/>
      <c r="B3" s="45"/>
      <c r="C3" s="19"/>
      <c r="D3" s="19"/>
      <c r="E3" s="19" t="s">
        <v>30</v>
      </c>
      <c r="F3" s="19"/>
      <c r="G3" s="19"/>
      <c r="H3" s="19"/>
      <c r="I3" s="19"/>
      <c r="J3" s="19"/>
      <c r="K3" s="19"/>
      <c r="L3" s="19"/>
      <c r="M3" s="19"/>
    </row>
    <row r="4" spans="1:14" ht="15" thickBot="1">
      <c r="A4" s="65"/>
      <c r="B4" s="46"/>
      <c r="C4" s="36"/>
      <c r="D4" s="36"/>
      <c r="E4" s="36" t="s">
        <v>31</v>
      </c>
      <c r="F4" s="37">
        <v>0.52083333333333337</v>
      </c>
      <c r="G4" s="37">
        <v>0.85416666666666663</v>
      </c>
      <c r="H4" s="36" t="s">
        <v>32</v>
      </c>
      <c r="I4" s="38">
        <v>0.41666666666666669</v>
      </c>
      <c r="J4" s="38">
        <v>0.79166666666666663</v>
      </c>
      <c r="K4" s="39" t="s">
        <v>33</v>
      </c>
      <c r="L4" s="38">
        <v>0.47916666666666669</v>
      </c>
      <c r="M4" s="38">
        <v>0.83333333333333337</v>
      </c>
    </row>
    <row r="5" spans="1:14">
      <c r="A5" s="65"/>
      <c r="B5" s="69" t="s">
        <v>50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34"/>
    </row>
    <row r="6" spans="1:14" ht="14.25" customHeight="1">
      <c r="A6" s="65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4" ht="15" customHeight="1" thickBot="1">
      <c r="A7" s="65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4" ht="18.75" thickBot="1">
      <c r="A8" s="65">
        <v>46154</v>
      </c>
      <c r="B8" s="75" t="s">
        <v>41</v>
      </c>
      <c r="C8" s="75"/>
      <c r="D8" s="66"/>
      <c r="E8" s="67" t="s">
        <v>42</v>
      </c>
      <c r="F8" s="67"/>
      <c r="G8" s="67"/>
      <c r="H8" s="67" t="s">
        <v>43</v>
      </c>
      <c r="I8" s="67"/>
      <c r="J8" s="67"/>
      <c r="K8" s="67" t="s">
        <v>44</v>
      </c>
      <c r="L8" s="67"/>
      <c r="M8" s="68"/>
    </row>
    <row r="9" spans="1:14">
      <c r="A9" s="65"/>
      <c r="B9" s="44" t="s">
        <v>29</v>
      </c>
      <c r="C9" s="33">
        <v>0.27083333333333331</v>
      </c>
      <c r="D9" s="33">
        <v>0.5625</v>
      </c>
      <c r="E9" s="32" t="s">
        <v>28</v>
      </c>
      <c r="F9" s="33">
        <v>0.29166666666666669</v>
      </c>
      <c r="G9" s="33">
        <v>0.58333333333333337</v>
      </c>
      <c r="H9" s="32"/>
      <c r="I9" s="33"/>
      <c r="J9" s="33"/>
      <c r="K9" s="32"/>
      <c r="L9" s="33"/>
      <c r="M9" s="33"/>
    </row>
    <row r="10" spans="1:14">
      <c r="A10" s="65"/>
      <c r="B10" s="45" t="s">
        <v>34</v>
      </c>
      <c r="C10" s="6">
        <v>0.52083333333333337</v>
      </c>
      <c r="D10" s="6">
        <v>0.85416666666666663</v>
      </c>
      <c r="E10" s="19" t="s">
        <v>33</v>
      </c>
      <c r="F10" s="6">
        <v>0.5625</v>
      </c>
      <c r="G10" s="6">
        <v>0.86458333333333337</v>
      </c>
      <c r="H10" s="32" t="s">
        <v>32</v>
      </c>
      <c r="I10" s="33">
        <v>0.41666666666666669</v>
      </c>
      <c r="J10" s="33">
        <v>0.79166666666666663</v>
      </c>
      <c r="K10" s="32" t="s">
        <v>30</v>
      </c>
      <c r="L10" s="19"/>
      <c r="M10" s="19"/>
    </row>
    <row r="11" spans="1:14" ht="15" thickBot="1">
      <c r="A11" s="65"/>
      <c r="B11" s="46"/>
      <c r="C11" s="36"/>
      <c r="D11" s="36"/>
      <c r="E11" s="36"/>
      <c r="F11" s="37"/>
      <c r="G11" s="37"/>
      <c r="H11" s="36"/>
      <c r="I11" s="38"/>
      <c r="J11" s="38"/>
      <c r="K11" s="19" t="s">
        <v>31</v>
      </c>
      <c r="L11" s="6">
        <v>0.54166666666666663</v>
      </c>
      <c r="M11" s="6">
        <v>0.85416666666666663</v>
      </c>
    </row>
    <row r="12" spans="1:14">
      <c r="A12" s="6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4" ht="14.25" customHeight="1">
      <c r="A13" s="65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9"/>
    </row>
    <row r="14" spans="1:14" ht="15" customHeight="1" thickBot="1">
      <c r="A14" s="65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1"/>
    </row>
    <row r="15" spans="1:14" ht="18.75" thickBot="1">
      <c r="A15" s="65">
        <v>46155</v>
      </c>
      <c r="B15" s="66" t="s">
        <v>41</v>
      </c>
      <c r="C15" s="67"/>
      <c r="D15" s="67"/>
      <c r="E15" s="67" t="s">
        <v>42</v>
      </c>
      <c r="F15" s="67"/>
      <c r="G15" s="67"/>
      <c r="H15" s="67" t="s">
        <v>43</v>
      </c>
      <c r="I15" s="67"/>
      <c r="J15" s="67"/>
      <c r="K15" s="67" t="s">
        <v>44</v>
      </c>
      <c r="L15" s="67"/>
      <c r="M15" s="68"/>
    </row>
    <row r="16" spans="1:14">
      <c r="A16" s="65"/>
      <c r="B16" s="44"/>
      <c r="C16" s="33"/>
      <c r="D16" s="33"/>
      <c r="E16" s="32" t="s">
        <v>29</v>
      </c>
      <c r="F16" s="33">
        <v>0.27083333333333331</v>
      </c>
      <c r="G16" s="33">
        <v>0.5625</v>
      </c>
      <c r="H16" s="32" t="s">
        <v>28</v>
      </c>
      <c r="I16" s="33">
        <v>0.29166666666666669</v>
      </c>
      <c r="J16" s="33">
        <v>0.58333333333333337</v>
      </c>
      <c r="K16" s="32"/>
      <c r="L16" s="33"/>
      <c r="M16" s="33"/>
    </row>
    <row r="17" spans="1:14">
      <c r="A17" s="65"/>
      <c r="B17" s="44" t="s">
        <v>32</v>
      </c>
      <c r="C17" s="33">
        <v>0.41666666666666669</v>
      </c>
      <c r="D17" s="33">
        <v>0.79166666666666663</v>
      </c>
      <c r="E17" s="19"/>
      <c r="F17" s="6"/>
      <c r="G17" s="6"/>
      <c r="H17" s="32"/>
      <c r="I17" s="33"/>
      <c r="J17" s="33"/>
      <c r="K17" s="32"/>
      <c r="L17" s="19"/>
      <c r="M17" s="19"/>
    </row>
    <row r="18" spans="1:14" ht="15" thickBot="1">
      <c r="A18" s="65"/>
      <c r="B18" s="46"/>
      <c r="C18" s="36"/>
      <c r="D18" s="36"/>
      <c r="E18" s="36"/>
      <c r="F18" s="37"/>
      <c r="G18" s="37"/>
      <c r="H18" s="19" t="s">
        <v>33</v>
      </c>
      <c r="I18" s="6">
        <v>0.5625</v>
      </c>
      <c r="J18" s="6">
        <v>0.86458333333333337</v>
      </c>
      <c r="K18" s="32" t="s">
        <v>34</v>
      </c>
      <c r="L18" s="33">
        <v>0.52083333333333337</v>
      </c>
      <c r="M18" s="33">
        <v>0.85416666666666663</v>
      </c>
    </row>
    <row r="19" spans="1:14" ht="15.75" customHeight="1">
      <c r="A19" s="65"/>
      <c r="B19" s="69" t="s">
        <v>48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</row>
    <row r="20" spans="1:14" ht="14.25" customHeight="1">
      <c r="A20" s="65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2"/>
    </row>
    <row r="21" spans="1:14" ht="15" customHeight="1" thickBot="1">
      <c r="A21" s="65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</row>
    <row r="22" spans="1:14" ht="18.75" thickBot="1">
      <c r="A22" s="65">
        <v>46156</v>
      </c>
      <c r="B22" s="66" t="s">
        <v>41</v>
      </c>
      <c r="C22" s="67"/>
      <c r="D22" s="67"/>
      <c r="E22" s="67" t="s">
        <v>42</v>
      </c>
      <c r="F22" s="67"/>
      <c r="G22" s="67"/>
      <c r="H22" s="67" t="s">
        <v>43</v>
      </c>
      <c r="I22" s="67"/>
      <c r="J22" s="67"/>
      <c r="K22" s="67" t="s">
        <v>44</v>
      </c>
      <c r="L22" s="67"/>
      <c r="M22" s="68"/>
    </row>
    <row r="23" spans="1:14">
      <c r="A23" s="65"/>
      <c r="B23" s="44" t="s">
        <v>29</v>
      </c>
      <c r="C23" s="33">
        <v>0.27083333333333331</v>
      </c>
      <c r="D23" s="33">
        <v>0.5625</v>
      </c>
      <c r="E23" s="32"/>
      <c r="F23" s="33"/>
      <c r="G23" s="33"/>
      <c r="H23" s="32" t="s">
        <v>28</v>
      </c>
      <c r="I23" s="33">
        <v>0.29166666666666669</v>
      </c>
      <c r="J23" s="33">
        <v>0.58333333333333337</v>
      </c>
      <c r="K23" s="32"/>
      <c r="L23" s="33"/>
      <c r="M23" s="33"/>
    </row>
    <row r="24" spans="1:14">
      <c r="A24" s="65"/>
      <c r="B24" s="45" t="s">
        <v>33</v>
      </c>
      <c r="C24" s="6">
        <v>0.55208333333333337</v>
      </c>
      <c r="D24" s="6">
        <v>0.86458333333333337</v>
      </c>
      <c r="E24" s="32" t="s">
        <v>32</v>
      </c>
      <c r="F24" s="33">
        <v>0.41666666666666669</v>
      </c>
      <c r="G24" s="33">
        <v>0.79166666666666663</v>
      </c>
      <c r="H24" s="19" t="s">
        <v>38</v>
      </c>
      <c r="I24" s="6">
        <v>0.54166666666666663</v>
      </c>
      <c r="J24" s="6">
        <v>0.85416666666666663</v>
      </c>
      <c r="K24" s="32" t="s">
        <v>34</v>
      </c>
      <c r="L24" s="33">
        <v>0.52083333333333337</v>
      </c>
      <c r="M24" s="33">
        <v>0.85416666666666663</v>
      </c>
    </row>
    <row r="25" spans="1:14" ht="15" thickBot="1">
      <c r="A25" s="65"/>
      <c r="B25" s="46"/>
      <c r="C25" s="36"/>
      <c r="D25" s="36"/>
      <c r="E25" s="36"/>
      <c r="F25" s="37"/>
      <c r="G25" s="37"/>
      <c r="H25" s="19"/>
      <c r="I25" s="6"/>
      <c r="J25" s="6"/>
      <c r="K25" s="32"/>
      <c r="L25" s="33"/>
      <c r="M25" s="33"/>
    </row>
    <row r="26" spans="1:14">
      <c r="A26" s="65"/>
      <c r="B26" s="69" t="s">
        <v>48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70"/>
    </row>
    <row r="27" spans="1:14" ht="15.75" customHeight="1">
      <c r="A27" s="65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2"/>
    </row>
    <row r="28" spans="1:14" ht="15" customHeight="1" thickBot="1">
      <c r="A28" s="65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41"/>
    </row>
    <row r="29" spans="1:14" ht="18.75" thickBot="1">
      <c r="A29" s="65">
        <v>46157</v>
      </c>
      <c r="B29" s="66" t="s">
        <v>41</v>
      </c>
      <c r="C29" s="67"/>
      <c r="D29" s="67"/>
      <c r="E29" s="67" t="s">
        <v>42</v>
      </c>
      <c r="F29" s="67"/>
      <c r="G29" s="67"/>
      <c r="H29" s="67" t="s">
        <v>43</v>
      </c>
      <c r="I29" s="67"/>
      <c r="J29" s="67"/>
      <c r="K29" s="67" t="s">
        <v>44</v>
      </c>
      <c r="L29" s="67"/>
      <c r="M29" s="68"/>
      <c r="N29" s="41"/>
    </row>
    <row r="30" spans="1:14">
      <c r="A30" s="65"/>
      <c r="B30" s="44" t="s">
        <v>28</v>
      </c>
      <c r="C30" s="33">
        <v>0.33333333333333331</v>
      </c>
      <c r="D30" s="33">
        <v>0.70833333333333337</v>
      </c>
      <c r="E30" s="32" t="s">
        <v>29</v>
      </c>
      <c r="F30" s="33">
        <v>0.27083333333333331</v>
      </c>
      <c r="G30" s="33">
        <v>0.5625</v>
      </c>
      <c r="H30" s="32"/>
      <c r="I30" s="33"/>
      <c r="J30" s="33"/>
      <c r="K30" s="32"/>
      <c r="L30" s="33"/>
      <c r="M30" s="33"/>
      <c r="N30" s="41"/>
    </row>
    <row r="31" spans="1:14">
      <c r="A31" s="65"/>
      <c r="B31" s="45"/>
      <c r="C31" s="6"/>
      <c r="D31" s="6"/>
      <c r="E31" s="32"/>
      <c r="F31" s="33"/>
      <c r="G31" s="33"/>
      <c r="H31" s="19"/>
      <c r="I31" s="6"/>
      <c r="J31" s="6"/>
      <c r="K31" s="32"/>
      <c r="L31" s="33"/>
      <c r="M31" s="33"/>
      <c r="N31" s="41"/>
    </row>
    <row r="32" spans="1:14" ht="15" thickBot="1">
      <c r="A32" s="65"/>
      <c r="B32" s="46"/>
      <c r="C32" s="36"/>
      <c r="D32" s="36"/>
      <c r="E32" s="19" t="s">
        <v>34</v>
      </c>
      <c r="F32" s="6">
        <v>0.52083333333333337</v>
      </c>
      <c r="G32" s="6">
        <v>0.85416666666666663</v>
      </c>
      <c r="H32" s="32" t="s">
        <v>32</v>
      </c>
      <c r="I32" s="33">
        <v>0.41666666666666669</v>
      </c>
      <c r="J32" s="33">
        <v>0.79166666666666663</v>
      </c>
      <c r="K32" s="32" t="s">
        <v>38</v>
      </c>
      <c r="L32" s="33">
        <v>0.5625</v>
      </c>
      <c r="M32" s="33">
        <v>0.86458333333333337</v>
      </c>
      <c r="N32" s="41"/>
    </row>
    <row r="33" spans="1:14" ht="14.25" customHeight="1">
      <c r="A33" s="65"/>
      <c r="B33" s="69" t="s">
        <v>49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70"/>
      <c r="N33" s="41"/>
    </row>
    <row r="34" spans="1:14" ht="15" customHeight="1">
      <c r="A34" s="65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2"/>
      <c r="N34" s="41"/>
    </row>
    <row r="35" spans="1:14" s="41" customFormat="1" ht="15" customHeight="1" thickBot="1">
      <c r="A35" s="65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4"/>
    </row>
    <row r="36" spans="1:14" s="41" customFormat="1">
      <c r="A36" s="43"/>
      <c r="C36" s="42"/>
      <c r="D36" s="42"/>
      <c r="I36" s="42"/>
      <c r="J36" s="42"/>
    </row>
  </sheetData>
  <mergeCells count="30">
    <mergeCell ref="A1:A7"/>
    <mergeCell ref="B1:D1"/>
    <mergeCell ref="E1:G1"/>
    <mergeCell ref="H1:J1"/>
    <mergeCell ref="K1:M1"/>
    <mergeCell ref="B5:M7"/>
    <mergeCell ref="A8:A14"/>
    <mergeCell ref="B8:D8"/>
    <mergeCell ref="E8:G8"/>
    <mergeCell ref="H8:J8"/>
    <mergeCell ref="K8:M8"/>
    <mergeCell ref="B12:M14"/>
    <mergeCell ref="A15:A21"/>
    <mergeCell ref="B15:D15"/>
    <mergeCell ref="E15:G15"/>
    <mergeCell ref="H15:J15"/>
    <mergeCell ref="K15:M15"/>
    <mergeCell ref="B19:M21"/>
    <mergeCell ref="A22:A28"/>
    <mergeCell ref="B22:D22"/>
    <mergeCell ref="E22:G22"/>
    <mergeCell ref="H22:J22"/>
    <mergeCell ref="K22:M22"/>
    <mergeCell ref="B26:M28"/>
    <mergeCell ref="A29:A35"/>
    <mergeCell ref="B29:D29"/>
    <mergeCell ref="E29:G29"/>
    <mergeCell ref="H29:J29"/>
    <mergeCell ref="K29:M29"/>
    <mergeCell ref="B33:M3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Q36"/>
  <sheetViews>
    <sheetView zoomScaleNormal="100" workbookViewId="0">
      <selection activeCell="E39" sqref="E39"/>
    </sheetView>
  </sheetViews>
  <sheetFormatPr defaultRowHeight="14.25"/>
  <cols>
    <col min="1" max="1" width="6.5" style="31" customWidth="1"/>
    <col min="2" max="2" width="11.5" bestFit="1" customWidth="1"/>
    <col min="3" max="3" width="6.5" customWidth="1"/>
    <col min="4" max="4" width="6.25" customWidth="1"/>
    <col min="5" max="5" width="17.5" customWidth="1"/>
    <col min="6" max="7" width="5.375" customWidth="1"/>
    <col min="8" max="8" width="10.625" customWidth="1"/>
    <col min="9" max="9" width="7.25" customWidth="1"/>
    <col min="10" max="10" width="8.25" customWidth="1"/>
    <col min="11" max="11" width="14.25" bestFit="1" customWidth="1"/>
    <col min="12" max="13" width="5.375" customWidth="1"/>
    <col min="14" max="14" width="30.875" customWidth="1"/>
    <col min="15" max="15" width="8.375" customWidth="1"/>
    <col min="16" max="16" width="13.75" customWidth="1"/>
    <col min="17" max="17" width="16.625" bestFit="1" customWidth="1"/>
  </cols>
  <sheetData>
    <row r="1" spans="1:17" ht="18.75" thickBot="1">
      <c r="A1" s="82">
        <v>46153</v>
      </c>
      <c r="B1" s="84" t="s">
        <v>41</v>
      </c>
      <c r="C1" s="67"/>
      <c r="D1" s="67"/>
      <c r="E1" s="67" t="s">
        <v>42</v>
      </c>
      <c r="F1" s="67"/>
      <c r="G1" s="67"/>
      <c r="H1" s="67" t="s">
        <v>43</v>
      </c>
      <c r="I1" s="67"/>
      <c r="J1" s="67"/>
      <c r="K1" s="67" t="s">
        <v>44</v>
      </c>
      <c r="L1" s="67"/>
      <c r="M1" s="85"/>
      <c r="N1" s="84" t="s">
        <v>45</v>
      </c>
      <c r="O1" s="67"/>
      <c r="P1" s="68"/>
    </row>
    <row r="2" spans="1:17" ht="31.5" customHeight="1">
      <c r="A2" s="65"/>
      <c r="B2" s="32" t="s">
        <v>28</v>
      </c>
      <c r="C2" s="33">
        <v>0.33333333333333331</v>
      </c>
      <c r="D2" s="33">
        <v>0.70833333333333337</v>
      </c>
      <c r="E2" s="32" t="s">
        <v>29</v>
      </c>
      <c r="F2" s="33">
        <v>0.27083333333333331</v>
      </c>
      <c r="G2" s="33">
        <v>0.5625</v>
      </c>
      <c r="H2" s="32"/>
      <c r="I2" s="33"/>
      <c r="J2" s="33"/>
      <c r="K2" s="32"/>
      <c r="L2" s="33"/>
      <c r="M2" s="33"/>
      <c r="N2" s="32"/>
      <c r="O2" s="33"/>
      <c r="P2" s="33"/>
    </row>
    <row r="3" spans="1:17">
      <c r="A3" s="65"/>
      <c r="B3" s="19"/>
      <c r="C3" s="19"/>
      <c r="D3" s="19"/>
      <c r="E3" s="19" t="s">
        <v>30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7" ht="15" thickBot="1">
      <c r="A4" s="65"/>
      <c r="B4" s="36"/>
      <c r="C4" s="36"/>
      <c r="D4" s="36"/>
      <c r="E4" s="36" t="s">
        <v>31</v>
      </c>
      <c r="F4" s="37">
        <v>0.52083333333333337</v>
      </c>
      <c r="G4" s="37">
        <v>0.85416666666666663</v>
      </c>
      <c r="H4" s="36" t="s">
        <v>32</v>
      </c>
      <c r="I4" s="38">
        <v>0.41666666666666669</v>
      </c>
      <c r="J4" s="38">
        <v>0.79166666666666663</v>
      </c>
      <c r="K4" s="39" t="s">
        <v>33</v>
      </c>
      <c r="L4" s="38">
        <v>0.47916666666666669</v>
      </c>
      <c r="M4" s="38">
        <v>0.83333333333333337</v>
      </c>
      <c r="N4" s="19" t="s">
        <v>34</v>
      </c>
      <c r="O4" s="6">
        <v>0.52083333333333337</v>
      </c>
      <c r="P4" s="6">
        <v>0.85416666666666663</v>
      </c>
    </row>
    <row r="5" spans="1:17">
      <c r="A5" s="82"/>
      <c r="B5" s="86" t="s">
        <v>50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90" t="s">
        <v>35</v>
      </c>
      <c r="O5" s="90"/>
      <c r="P5" s="90"/>
      <c r="Q5" s="34"/>
    </row>
    <row r="6" spans="1:17">
      <c r="A6" s="82"/>
      <c r="B6" s="87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35" t="s">
        <v>36</v>
      </c>
      <c r="O6" s="92" t="s">
        <v>47</v>
      </c>
      <c r="P6" s="93"/>
    </row>
    <row r="7" spans="1:17" ht="15" thickBot="1">
      <c r="A7" s="82"/>
      <c r="B7" s="88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35" t="s">
        <v>37</v>
      </c>
      <c r="O7" s="100"/>
      <c r="P7" s="101"/>
    </row>
    <row r="8" spans="1:17" ht="18.75" thickBot="1">
      <c r="A8" s="82">
        <v>46154</v>
      </c>
      <c r="B8" s="96" t="s">
        <v>41</v>
      </c>
      <c r="C8" s="75"/>
      <c r="D8" s="66"/>
      <c r="E8" s="67" t="s">
        <v>42</v>
      </c>
      <c r="F8" s="67"/>
      <c r="G8" s="67"/>
      <c r="H8" s="67" t="s">
        <v>43</v>
      </c>
      <c r="I8" s="67"/>
      <c r="J8" s="67"/>
      <c r="K8" s="67" t="s">
        <v>44</v>
      </c>
      <c r="L8" s="67"/>
      <c r="M8" s="85"/>
      <c r="N8" s="84" t="s">
        <v>45</v>
      </c>
      <c r="O8" s="67"/>
      <c r="P8" s="68"/>
    </row>
    <row r="9" spans="1:17">
      <c r="A9" s="65"/>
      <c r="B9" s="32" t="s">
        <v>29</v>
      </c>
      <c r="C9" s="33">
        <v>0.27083333333333331</v>
      </c>
      <c r="D9" s="33">
        <v>0.5625</v>
      </c>
      <c r="E9" s="32" t="s">
        <v>28</v>
      </c>
      <c r="F9" s="33">
        <v>0.29166666666666669</v>
      </c>
      <c r="G9" s="33">
        <v>0.58333333333333337</v>
      </c>
      <c r="H9" s="32"/>
      <c r="I9" s="33"/>
      <c r="J9" s="33"/>
      <c r="K9" s="32"/>
      <c r="L9" s="33"/>
      <c r="M9" s="33"/>
      <c r="N9" s="32"/>
      <c r="O9" s="33"/>
      <c r="P9" s="33"/>
    </row>
    <row r="10" spans="1:17">
      <c r="A10" s="65"/>
      <c r="B10" s="19" t="s">
        <v>34</v>
      </c>
      <c r="C10" s="6">
        <v>0.52083333333333337</v>
      </c>
      <c r="D10" s="6">
        <v>0.85416666666666663</v>
      </c>
      <c r="E10" s="19" t="s">
        <v>33</v>
      </c>
      <c r="F10" s="6">
        <v>0.5625</v>
      </c>
      <c r="G10" s="6">
        <v>0.86458333333333337</v>
      </c>
      <c r="H10" s="32" t="s">
        <v>32</v>
      </c>
      <c r="I10" s="33">
        <v>0.41666666666666669</v>
      </c>
      <c r="J10" s="33">
        <v>0.79166666666666663</v>
      </c>
      <c r="K10" s="32" t="s">
        <v>30</v>
      </c>
      <c r="L10" s="19"/>
      <c r="M10" s="19"/>
      <c r="N10" s="19"/>
      <c r="O10" s="19"/>
      <c r="P10" s="19"/>
    </row>
    <row r="11" spans="1:17" ht="15" thickBot="1">
      <c r="A11" s="65"/>
      <c r="B11" s="36"/>
      <c r="C11" s="36"/>
      <c r="D11" s="36"/>
      <c r="E11" s="36"/>
      <c r="F11" s="37"/>
      <c r="G11" s="37"/>
      <c r="H11" s="36"/>
      <c r="I11" s="38"/>
      <c r="J11" s="38"/>
      <c r="K11" s="19" t="s">
        <v>31</v>
      </c>
      <c r="L11" s="6">
        <v>0.54166666666666663</v>
      </c>
      <c r="M11" s="6">
        <v>0.85416666666666663</v>
      </c>
      <c r="N11" s="19" t="s">
        <v>38</v>
      </c>
      <c r="O11" s="6">
        <v>0.52083333333333337</v>
      </c>
      <c r="P11" s="6">
        <v>0.83333333333333337</v>
      </c>
    </row>
    <row r="12" spans="1:17">
      <c r="A12" s="82"/>
      <c r="B12" s="97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7"/>
      <c r="N12" s="89" t="s">
        <v>35</v>
      </c>
      <c r="O12" s="90"/>
      <c r="P12" s="90"/>
    </row>
    <row r="13" spans="1:17">
      <c r="A13" s="82"/>
      <c r="B13" s="9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9"/>
      <c r="N13" s="35" t="s">
        <v>36</v>
      </c>
      <c r="O13" s="92" t="s">
        <v>47</v>
      </c>
      <c r="P13" s="93"/>
    </row>
    <row r="14" spans="1:17" ht="15" thickBot="1">
      <c r="A14" s="83"/>
      <c r="B14" s="99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1"/>
      <c r="N14" s="40" t="s">
        <v>37</v>
      </c>
      <c r="O14" s="94"/>
      <c r="P14" s="95"/>
    </row>
    <row r="15" spans="1:17" ht="18.75" thickBot="1">
      <c r="A15" s="82">
        <v>46155</v>
      </c>
      <c r="B15" s="84" t="s">
        <v>41</v>
      </c>
      <c r="C15" s="67"/>
      <c r="D15" s="67"/>
      <c r="E15" s="67" t="s">
        <v>42</v>
      </c>
      <c r="F15" s="67"/>
      <c r="G15" s="67"/>
      <c r="H15" s="67" t="s">
        <v>43</v>
      </c>
      <c r="I15" s="67"/>
      <c r="J15" s="67"/>
      <c r="K15" s="67" t="s">
        <v>44</v>
      </c>
      <c r="L15" s="67"/>
      <c r="M15" s="85"/>
      <c r="N15" s="84" t="s">
        <v>45</v>
      </c>
      <c r="O15" s="67"/>
      <c r="P15" s="68"/>
    </row>
    <row r="16" spans="1:17">
      <c r="A16" s="65"/>
      <c r="B16" s="32"/>
      <c r="C16" s="33"/>
      <c r="D16" s="33"/>
      <c r="E16" s="32" t="s">
        <v>29</v>
      </c>
      <c r="F16" s="33">
        <v>0.27083333333333331</v>
      </c>
      <c r="G16" s="33">
        <v>0.5625</v>
      </c>
      <c r="H16" s="32" t="s">
        <v>28</v>
      </c>
      <c r="I16" s="33">
        <v>0.29166666666666669</v>
      </c>
      <c r="J16" s="33">
        <v>0.58333333333333337</v>
      </c>
      <c r="K16" s="32"/>
      <c r="L16" s="33"/>
      <c r="M16" s="33"/>
      <c r="N16" s="32"/>
      <c r="O16" s="33"/>
      <c r="P16" s="33"/>
    </row>
    <row r="17" spans="1:17">
      <c r="A17" s="65"/>
      <c r="B17" s="32" t="s">
        <v>32</v>
      </c>
      <c r="C17" s="33">
        <v>0.41666666666666669</v>
      </c>
      <c r="D17" s="33">
        <v>0.79166666666666663</v>
      </c>
      <c r="E17" s="19"/>
      <c r="F17" s="6"/>
      <c r="G17" s="6"/>
      <c r="H17" s="32"/>
      <c r="I17" s="33"/>
      <c r="J17" s="33"/>
      <c r="K17" s="32"/>
      <c r="L17" s="19"/>
      <c r="M17" s="19"/>
      <c r="N17" s="19"/>
      <c r="O17" s="19"/>
      <c r="P17" s="19"/>
    </row>
    <row r="18" spans="1:17" ht="15" thickBot="1">
      <c r="A18" s="65"/>
      <c r="B18" s="36"/>
      <c r="C18" s="36"/>
      <c r="D18" s="36"/>
      <c r="E18" s="36"/>
      <c r="F18" s="37"/>
      <c r="G18" s="37"/>
      <c r="H18" s="19" t="s">
        <v>33</v>
      </c>
      <c r="I18" s="6">
        <v>0.5625</v>
      </c>
      <c r="J18" s="6">
        <v>0.86458333333333337</v>
      </c>
      <c r="K18" s="32" t="s">
        <v>34</v>
      </c>
      <c r="L18" s="33">
        <v>0.52083333333333337</v>
      </c>
      <c r="M18" s="33">
        <v>0.85416666666666663</v>
      </c>
      <c r="N18" s="19" t="s">
        <v>38</v>
      </c>
      <c r="O18" s="6">
        <v>0.52083333333333337</v>
      </c>
      <c r="P18" s="6">
        <v>0.83333333333333337</v>
      </c>
    </row>
    <row r="19" spans="1:17" ht="15.75" customHeight="1">
      <c r="A19" s="82"/>
      <c r="B19" s="86" t="s">
        <v>48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9" t="s">
        <v>35</v>
      </c>
      <c r="O19" s="90"/>
      <c r="P19" s="90"/>
    </row>
    <row r="20" spans="1:17">
      <c r="A20" s="82"/>
      <c r="B20" s="87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2"/>
      <c r="N20" s="35" t="s">
        <v>36</v>
      </c>
      <c r="O20" s="91" t="s">
        <v>39</v>
      </c>
      <c r="P20" s="91"/>
    </row>
    <row r="21" spans="1:17" ht="15" thickBot="1">
      <c r="A21" s="83"/>
      <c r="B21" s="88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19" t="s">
        <v>46</v>
      </c>
      <c r="O21" s="91"/>
      <c r="P21" s="91"/>
    </row>
    <row r="22" spans="1:17" ht="18.75" thickBot="1">
      <c r="A22" s="82">
        <v>46156</v>
      </c>
      <c r="B22" s="84" t="s">
        <v>41</v>
      </c>
      <c r="C22" s="67"/>
      <c r="D22" s="67"/>
      <c r="E22" s="67" t="s">
        <v>42</v>
      </c>
      <c r="F22" s="67"/>
      <c r="G22" s="67"/>
      <c r="H22" s="67" t="s">
        <v>43</v>
      </c>
      <c r="I22" s="67"/>
      <c r="J22" s="67"/>
      <c r="K22" s="67" t="s">
        <v>44</v>
      </c>
      <c r="L22" s="67"/>
      <c r="M22" s="85"/>
      <c r="N22" s="84" t="s">
        <v>45</v>
      </c>
      <c r="O22" s="67"/>
      <c r="P22" s="68"/>
    </row>
    <row r="23" spans="1:17">
      <c r="A23" s="65"/>
      <c r="B23" s="32" t="s">
        <v>29</v>
      </c>
      <c r="C23" s="33">
        <v>0.27083333333333331</v>
      </c>
      <c r="D23" s="33">
        <v>0.5625</v>
      </c>
      <c r="E23" s="32"/>
      <c r="F23" s="33"/>
      <c r="G23" s="33"/>
      <c r="H23" s="32" t="s">
        <v>28</v>
      </c>
      <c r="I23" s="33">
        <v>0.29166666666666669</v>
      </c>
      <c r="J23" s="33">
        <v>0.58333333333333337</v>
      </c>
      <c r="K23" s="32"/>
      <c r="L23" s="33"/>
      <c r="M23" s="33"/>
      <c r="N23" s="32"/>
      <c r="O23" s="33"/>
      <c r="P23" s="33"/>
    </row>
    <row r="24" spans="1:17">
      <c r="A24" s="65"/>
      <c r="B24" s="19" t="s">
        <v>33</v>
      </c>
      <c r="C24" s="6">
        <v>0.55208333333333337</v>
      </c>
      <c r="D24" s="6">
        <v>0.86458333333333337</v>
      </c>
      <c r="E24" s="32" t="s">
        <v>32</v>
      </c>
      <c r="F24" s="33">
        <v>0.41666666666666669</v>
      </c>
      <c r="G24" s="33">
        <v>0.79166666666666663</v>
      </c>
      <c r="H24" s="19" t="s">
        <v>38</v>
      </c>
      <c r="I24" s="6">
        <v>0.54166666666666663</v>
      </c>
      <c r="J24" s="6">
        <v>0.85416666666666663</v>
      </c>
      <c r="K24" s="32" t="s">
        <v>34</v>
      </c>
      <c r="L24" s="33">
        <v>0.52083333333333337</v>
      </c>
      <c r="M24" s="33">
        <v>0.85416666666666663</v>
      </c>
      <c r="N24" s="19"/>
      <c r="O24" s="19"/>
      <c r="P24" s="19"/>
    </row>
    <row r="25" spans="1:17" ht="15" thickBot="1">
      <c r="A25" s="65"/>
      <c r="B25" s="36"/>
      <c r="C25" s="36"/>
      <c r="D25" s="36"/>
      <c r="E25" s="36"/>
      <c r="F25" s="37"/>
      <c r="G25" s="37"/>
      <c r="H25" s="19"/>
      <c r="I25" s="6"/>
      <c r="J25" s="6"/>
      <c r="K25" s="32"/>
      <c r="L25" s="33"/>
      <c r="M25" s="33"/>
      <c r="N25" s="19"/>
      <c r="O25" s="6"/>
      <c r="P25" s="6"/>
    </row>
    <row r="26" spans="1:17">
      <c r="A26" s="82"/>
      <c r="B26" s="86" t="s">
        <v>48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70"/>
      <c r="N26" s="89" t="s">
        <v>35</v>
      </c>
      <c r="O26" s="90"/>
      <c r="P26" s="90"/>
    </row>
    <row r="27" spans="1:17" ht="15.75" customHeight="1">
      <c r="A27" s="82"/>
      <c r="B27" s="87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2"/>
      <c r="N27" s="35" t="s">
        <v>36</v>
      </c>
      <c r="O27" s="91" t="s">
        <v>39</v>
      </c>
      <c r="P27" s="91"/>
    </row>
    <row r="28" spans="1:17" ht="15" thickBot="1">
      <c r="A28" s="83"/>
      <c r="B28" s="88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19" t="s">
        <v>46</v>
      </c>
      <c r="O28" s="91"/>
      <c r="P28" s="91"/>
      <c r="Q28" s="41"/>
    </row>
    <row r="29" spans="1:17" ht="18.75" thickBot="1">
      <c r="A29" s="82">
        <v>46157</v>
      </c>
      <c r="B29" s="84" t="s">
        <v>41</v>
      </c>
      <c r="C29" s="67"/>
      <c r="D29" s="67"/>
      <c r="E29" s="67" t="s">
        <v>42</v>
      </c>
      <c r="F29" s="67"/>
      <c r="G29" s="67"/>
      <c r="H29" s="67" t="s">
        <v>43</v>
      </c>
      <c r="I29" s="67"/>
      <c r="J29" s="67"/>
      <c r="K29" s="67" t="s">
        <v>44</v>
      </c>
      <c r="L29" s="67"/>
      <c r="M29" s="85"/>
      <c r="N29" s="84" t="s">
        <v>45</v>
      </c>
      <c r="O29" s="67"/>
      <c r="P29" s="68"/>
      <c r="Q29" s="41"/>
    </row>
    <row r="30" spans="1:17">
      <c r="A30" s="65"/>
      <c r="B30" s="32" t="s">
        <v>28</v>
      </c>
      <c r="C30" s="33">
        <v>0.33333333333333331</v>
      </c>
      <c r="D30" s="33">
        <v>0.70833333333333337</v>
      </c>
      <c r="E30" s="32" t="s">
        <v>29</v>
      </c>
      <c r="F30" s="33">
        <v>0.27083333333333331</v>
      </c>
      <c r="G30" s="33">
        <v>0.5625</v>
      </c>
      <c r="H30" s="32"/>
      <c r="I30" s="33"/>
      <c r="J30" s="33"/>
      <c r="K30" s="32"/>
      <c r="L30" s="33"/>
      <c r="M30" s="33"/>
      <c r="N30" s="32" t="s">
        <v>40</v>
      </c>
      <c r="O30" s="33"/>
      <c r="P30" s="33"/>
      <c r="Q30" s="41"/>
    </row>
    <row r="31" spans="1:17">
      <c r="A31" s="65"/>
      <c r="B31" s="19"/>
      <c r="C31" s="6"/>
      <c r="D31" s="6"/>
      <c r="E31" s="32"/>
      <c r="F31" s="33"/>
      <c r="G31" s="33"/>
      <c r="H31" s="19"/>
      <c r="I31" s="6"/>
      <c r="J31" s="6"/>
      <c r="K31" s="32"/>
      <c r="L31" s="33"/>
      <c r="M31" s="33"/>
      <c r="N31" s="19"/>
      <c r="O31" s="19"/>
      <c r="P31" s="19"/>
      <c r="Q31" s="41"/>
    </row>
    <row r="32" spans="1:17" ht="15" thickBot="1">
      <c r="A32" s="65"/>
      <c r="B32" s="36"/>
      <c r="C32" s="36"/>
      <c r="D32" s="36"/>
      <c r="E32" s="19" t="s">
        <v>34</v>
      </c>
      <c r="F32" s="6">
        <v>0.52083333333333337</v>
      </c>
      <c r="G32" s="6">
        <v>0.85416666666666663</v>
      </c>
      <c r="H32" s="32" t="s">
        <v>32</v>
      </c>
      <c r="I32" s="33">
        <v>0.41666666666666669</v>
      </c>
      <c r="J32" s="33">
        <v>0.79166666666666663</v>
      </c>
      <c r="K32" s="32" t="s">
        <v>38</v>
      </c>
      <c r="L32" s="33">
        <v>0.5625</v>
      </c>
      <c r="M32" s="33">
        <v>0.86458333333333337</v>
      </c>
      <c r="N32" s="19"/>
      <c r="O32" s="6"/>
      <c r="P32" s="6"/>
      <c r="Q32" s="41"/>
    </row>
    <row r="33" spans="1:17" ht="14.25" customHeight="1">
      <c r="A33" s="82"/>
      <c r="B33" s="86" t="s">
        <v>49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70"/>
      <c r="N33" s="89" t="s">
        <v>35</v>
      </c>
      <c r="O33" s="90"/>
      <c r="P33" s="90"/>
      <c r="Q33" s="41"/>
    </row>
    <row r="34" spans="1:17" ht="15" customHeight="1">
      <c r="A34" s="82"/>
      <c r="B34" s="87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2"/>
      <c r="N34" s="35" t="s">
        <v>36</v>
      </c>
      <c r="O34" s="91" t="s">
        <v>39</v>
      </c>
      <c r="P34" s="91"/>
      <c r="Q34" s="41"/>
    </row>
    <row r="35" spans="1:17" s="41" customFormat="1" ht="15" customHeight="1" thickBot="1">
      <c r="A35" s="83"/>
      <c r="B35" s="88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4"/>
      <c r="N35" s="19" t="s">
        <v>46</v>
      </c>
      <c r="O35" s="91"/>
      <c r="P35" s="91"/>
    </row>
    <row r="36" spans="1:17" s="41" customFormat="1">
      <c r="A36" s="43"/>
      <c r="C36" s="42"/>
      <c r="D36" s="42"/>
      <c r="I36" s="42"/>
      <c r="J36" s="42"/>
    </row>
  </sheetData>
  <mergeCells count="45">
    <mergeCell ref="A1:A7"/>
    <mergeCell ref="O6:P7"/>
    <mergeCell ref="B1:D1"/>
    <mergeCell ref="E1:G1"/>
    <mergeCell ref="H1:J1"/>
    <mergeCell ref="K1:M1"/>
    <mergeCell ref="N1:P1"/>
    <mergeCell ref="N8:P8"/>
    <mergeCell ref="B12:M14"/>
    <mergeCell ref="N12:P12"/>
    <mergeCell ref="N5:P5"/>
    <mergeCell ref="B5:M7"/>
    <mergeCell ref="A8:A14"/>
    <mergeCell ref="B8:D8"/>
    <mergeCell ref="E8:G8"/>
    <mergeCell ref="H8:J8"/>
    <mergeCell ref="K8:M8"/>
    <mergeCell ref="N15:P15"/>
    <mergeCell ref="B19:M21"/>
    <mergeCell ref="N19:P19"/>
    <mergeCell ref="O20:P21"/>
    <mergeCell ref="O13:P14"/>
    <mergeCell ref="A15:A21"/>
    <mergeCell ref="B15:D15"/>
    <mergeCell ref="E15:G15"/>
    <mergeCell ref="H15:J15"/>
    <mergeCell ref="K15:M15"/>
    <mergeCell ref="N29:P29"/>
    <mergeCell ref="B33:M35"/>
    <mergeCell ref="N33:P33"/>
    <mergeCell ref="O34:P35"/>
    <mergeCell ref="A22:A28"/>
    <mergeCell ref="B22:D22"/>
    <mergeCell ref="E22:G22"/>
    <mergeCell ref="H22:J22"/>
    <mergeCell ref="K22:M22"/>
    <mergeCell ref="N22:P22"/>
    <mergeCell ref="B26:M28"/>
    <mergeCell ref="N26:P26"/>
    <mergeCell ref="O27:P28"/>
    <mergeCell ref="A29:A35"/>
    <mergeCell ref="B29:D29"/>
    <mergeCell ref="E29:G29"/>
    <mergeCell ref="H29:J29"/>
    <mergeCell ref="K29:M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Zakresy nazwane</vt:lpstr>
      </vt:variant>
      <vt:variant>
        <vt:i4>9</vt:i4>
      </vt:variant>
    </vt:vector>
  </HeadingPairs>
  <TitlesOfParts>
    <vt:vector size="18" baseType="lpstr">
      <vt:lpstr>Kozbór ARKUSZ Długi</vt:lpstr>
      <vt:lpstr>Kosmacz ARKUSZ Długi </vt:lpstr>
      <vt:lpstr>Kwiatkowski ARKUSZ Długi</vt:lpstr>
      <vt:lpstr>Zygadło ARKUSZ Długi</vt:lpstr>
      <vt:lpstr>Kalman ARKUSZ Długi</vt:lpstr>
      <vt:lpstr>Graba ARKUSZ Długi</vt:lpstr>
      <vt:lpstr>Jankowiak ARKUSZ Długi</vt:lpstr>
      <vt:lpstr>ArkuszOkienka skrócony</vt:lpstr>
      <vt:lpstr>Arkusz Okienka</vt:lpstr>
      <vt:lpstr>'Graba ARKUSZ Długi'!grafik_poczta</vt:lpstr>
      <vt:lpstr>'Jankowiak ARKUSZ Długi'!grafik_poczta</vt:lpstr>
      <vt:lpstr>'Kalman ARKUSZ Długi'!grafik_poczta</vt:lpstr>
      <vt:lpstr>'Kosmacz ARKUSZ Długi '!grafik_poczta</vt:lpstr>
      <vt:lpstr>'Kozbór ARKUSZ Długi'!grafik_poczta</vt:lpstr>
      <vt:lpstr>'Kwiatkowski ARKUSZ Długi'!grafik_poczta</vt:lpstr>
      <vt:lpstr>'Zygadło ARKUSZ Długi'!grafik_poczta</vt:lpstr>
      <vt:lpstr>'Arkusz Okienka'!grafik_poczta_okienka_1</vt:lpstr>
      <vt:lpstr>'ArkuszOkienka skrócony'!grafik_poczta_okienka_1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2026-05-13T15:45:11Z</dcterms:created>
  <dcterms:modified xsi:type="dcterms:W3CDTF">2026-05-14T18:23:23Z</dcterms:modified>
</cp:coreProperties>
</file>